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ff131ebc6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金信息" sheetId="4" r:id="R5cb1ba78739e4714"/>
    <x:sheet xmlns:r="http://schemas.openxmlformats.org/officeDocument/2006/relationships" name="交易流水" sheetId="2" r:id="R10005e070b8b4379"/>
    <x:sheet xmlns:r="http://schemas.openxmlformats.org/officeDocument/2006/relationships" name="填写说明" sheetId="5" r:id="Rffc6662e44d342e8"/>
  </x:sheets>
</x:workbook>
</file>

<file path=xl/sharedStrings.xml><?xml version="1.0" encoding="utf-8"?>
<x:sst xmlns:x="http://schemas.openxmlformats.org/spreadsheetml/2006/main">
  <x:si>
    <x:t xml:space="preserve">基金交易流水（每发生一笔交易填写一行；无交易的日期不填）</x:t>
  </x:si>
  <x:si>
    <x:t xml:space="preserve">必填：申请日期、基金代码、交易类型、申请/成交金额。确认后补充确认日期、确认份额、确认净值、手续费和实际到账。卖出/转换/分红尤其重要，因为它们会影响APP显示的“持有收益率”。蓝色字体列为手工输入；黑色公式列自动计算。</x:t>
  </x:si>
  <x:si>
    <x:t xml:space="preserve">申请日期</x:t>
  </x:si>
  <x:si>
    <x:t xml:space="preserve">确认日期</x:t>
  </x:si>
  <x:si>
    <x:t xml:space="preserve">基金代码</x:t>
  </x:si>
  <x:si>
    <x:t xml:space="preserve">基金名称(自动)</x:t>
  </x:si>
  <x:si>
    <x:t xml:space="preserve">交易类型</x:t>
  </x:si>
  <x:si>
    <x:t xml:space="preserve">申请/成交金额</x:t>
  </x:si>
  <x:si>
    <x:t xml:space="preserve">确认份额</x:t>
  </x:si>
  <x:si>
    <x:t xml:space="preserve">确认净值</x:t>
  </x:si>
  <x:si>
    <x:t xml:space="preserve">手续费</x:t>
  </x:si>
  <x:si>
    <x:t xml:space="preserve">实际到账/分红</x:t>
  </x:si>
  <x:si>
    <x:t xml:space="preserve">现金流(自动)</x:t>
  </x:si>
  <x:si>
    <x:t xml:space="preserve">策略标签</x:t>
  </x:si>
  <x:si>
    <x:t xml:space="preserve">备注</x:t>
  </x:si>
  <x:si>
    <x:t xml:space="preserve">最小必要数据</x:t>
  </x:si>
  <x:si>
    <x:t xml:space="preserve">项目</x:t>
  </x:si>
  <x:si>
    <x:t xml:space="preserve">是否必须</x:t>
  </x:si>
  <x:si>
    <x:t xml:space="preserve">何时填写</x:t>
  </x:si>
  <x:si>
    <x:t xml:space="preserve">说明</x:t>
  </x:si>
  <x:si>
    <x:t xml:space="preserve">申请日期、基金代码、交易类型</x:t>
  </x:si>
  <x:si>
    <x:t xml:space="preserve">必须</x:t>
  </x:si>
  <x:si>
    <x:t xml:space="preserve">每次交易</x:t>
  </x:si>
  <x:si>
    <x:t xml:space="preserve">没有交易的日期不填。</x:t>
  </x:si>
  <x:si>
    <x:t xml:space="preserve">买入填投入金额；卖出填成交金额。</x:t>
  </x:si>
  <x:si>
    <x:t xml:space="preserve">确认份额、确认净值</x:t>
  </x:si>
  <x:si>
    <x:t xml:space="preserve">强烈建议</x:t>
  </x:si>
  <x:si>
    <x:t xml:space="preserve">份额确认后</x:t>
  </x:si>
  <x:si>
    <x:t xml:space="preserve">用于核对交易、计算真实持仓成本。</x:t>
  </x:si>
  <x:si>
    <x:t xml:space="preserve">手续费、实际到账</x:t>
  </x:si>
  <x:si>
    <x:t xml:space="preserve">卖出时必须</x:t>
  </x:si>
  <x:si>
    <x:t xml:space="preserve">确认到账后</x:t>
  </x:si>
  <x:si>
    <x:t xml:space="preserve">否则无法准确计算净现金流和已实现收益。</x:t>
  </x:si>
  <x:si>
    <x:t xml:space="preserve">持仓快照</x:t>
  </x:si>
  <x:si>
    <x:t xml:space="preserve">建议</x:t>
  </x:si>
  <x:si>
    <x:t xml:space="preserve">月末或每次交易后</x:t>
  </x:si>
  <x:si>
    <x:t xml:space="preserve">同一日期每只基金一行，不必每天记录。</x:t>
  </x:si>
  <x:si>
    <x:t xml:space="preserve">分红/转换记录</x:t>
  </x:si>
  <x:si>
    <x:t xml:space="preserve">发生时</x:t>
  </x:si>
  <x:si>
    <x:t xml:space="preserve">它们是APP收益率与简单成本不一致的常见原因。</x:t>
  </x:si>
</x:sst>
</file>

<file path=xl/styles.xml><?xml version="1.0" encoding="utf-8"?>
<x:styleSheet xmlns:x="http://schemas.openxmlformats.org/spreadsheetml/2006/main">
  <x:numFmts count="6">
    <x:numFmt numFmtId="176" formatCode="000000"/>
    <x:numFmt numFmtId="177" formatCode="\¥#,##0.00;[Green]\-\¥#,##0.00;\-"/>
    <x:numFmt numFmtId="178" formatCode="0.0000"/>
    <x:numFmt numFmtId="179" formatCode="yyyy\-mm\-dd"/>
    <x:numFmt numFmtId="200" formatCode="yyyy-mm-dd"/>
    <x:numFmt numFmtId="201" formatCode="0.00%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2F75B5"/>
      <x:name val="Carlito"/>
    </x:font>
    <x:font>
      <x:sz val="11"/>
      <x:color rgb="FF666666"/>
      <x:name val="Carlito"/>
    </x:font>
    <x:font>
      <x:sz val="11"/>
      <x:name val="Carlito"/>
    </x:font>
    <x:font>
      <x:sz val="9"/>
      <x:name val="宋体"/>
    </x:font>
    <x:font>
      <x:sz val="11"/>
      <x:color rgb="FF0000FF"/>
      <x:name val="宋体"/>
    </x:font>
    <x:font>
      <x:sz val="11"/>
      <x:color theme="10"/>
      <x:name val="Carlito"/>
    </x:font>
    <x:font>
      <x:b/>
      <x:sz val="12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32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E6E6E6"/>
      </x:right>
    </x:border>
    <x:border>
      <x:left style="thin">
        <x:color rgb="FFE6E6E6"/>
      </x:left>
      <x:right style="thin">
        <x:color rgb="FFE6E6E6"/>
      </x:right>
    </x:border>
    <x:border>
      <x:left style="thin">
        <x:color rgb="FFE6E6E6"/>
      </x:left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B4C7E7"/>
      </x:left>
      <x:right style="thin">
        <x:color rgb="FFE6E6E6"/>
      </x:right>
      <x:top style="thin">
        <x:color rgb="FFB4C7E7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B4C7E7"/>
      </x:top>
      <x:bottom style="thin">
        <x:color rgb="FFE6E6E6"/>
      </x:bottom>
    </x:border>
    <x:border>
      <x:left style="thin">
        <x:color rgb="FFE6E6E6"/>
      </x:left>
      <x:top style="thin">
        <x:color rgb="FFB4C7E7"/>
      </x:top>
      <x:bottom style="thin">
        <x:color rgb="FFE6E6E6"/>
      </x:bottom>
    </x:border>
    <x:border>
      <x:left style="thin">
        <x:color rgb="FFB4C7E7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left style="thin">
        <x:color rgb="FFB4C7E7"/>
      </x:left>
      <x:right style="thin">
        <x:color rgb="FFE6E6E6"/>
      </x:right>
      <x:top style="thin">
        <x:color rgb="FFE6E6E6"/>
      </x:top>
      <x:bottom style="thin">
        <x:color rgb="FFB4C7E7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B4C7E7"/>
      </x:bottom>
    </x:border>
    <x:border>
      <x:left style="thin">
        <x:color rgb="FFE6E6E6"/>
      </x:left>
      <x:top style="thin">
        <x:color rgb="FFE6E6E6"/>
      </x:top>
      <x:bottom style="thin">
        <x:color rgb="FFB4C7E7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  <x:right style="thin">
        <x:color rgb="FFE6E6E6"/>
      </x:right>
      <x:top style="thin">
        <x:color rgb="FFE6E6E6"/>
      </x:top>
    </x:border>
    <x:border>
      <x:left style="thin">
        <x:color rgb="FFD9E2F3"/>
      </x:left>
      <x:top style="thin">
        <x:color rgb="FFB8CCE4"/>
      </x:top>
      <x:bottom style="thin">
        <x:color rgb="FFB8CCE4"/>
      </x:bottom>
    </x:border>
    <x:border>
      <x:top style="thin">
        <x:color rgb="FFB8CCE4"/>
      </x:top>
      <x:bottom style="thin">
        <x:color rgb="FFB8CCE4"/>
      </x:bottom>
    </x:border>
    <x:border>
      <x:right style="thin">
        <x:color rgb="FFD9E2F3"/>
      </x:right>
      <x:top style="thin">
        <x:color rgb="FFB8CCE4"/>
      </x:top>
      <x:bottom style="thin">
        <x:color rgb="FFB8CCE4"/>
      </x:bottom>
    </x:border>
    <x:border>
      <x:right style="thin">
        <x:color rgb="FFE6E6E6"/>
      </x:right>
      <x:top style="thin">
        <x:color rgb="FFB8CCE4"/>
      </x:top>
      <x:bottom style="thin">
        <x:color rgb="FFB8CCE4"/>
      </x:bottom>
    </x:border>
    <x:border>
      <x:left style="thin">
        <x:color rgb="FFE6E6E6"/>
      </x:left>
      <x:right style="thin">
        <x:color rgb="FFE6E6E6"/>
      </x:right>
      <x:top style="thin">
        <x:color rgb="FFB8CCE4"/>
      </x:top>
      <x:bottom style="thin">
        <x:color rgb="FFB8CCE4"/>
      </x:bottom>
    </x:border>
  </x:borders>
  <x:cellStyleXfs count="3">
    <x:xf numFmtId="0" fontId="0" fillId="0" borderId="0"/>
    <x:xf numFmtId="0" fontId="7" fillId="0" borderId="0"/>
    <x:xf numFmtId="0" fontId="10" fillId="0" borderId="0" applyNumberFormat="0" applyFill="0" applyBorder="0" applyAlignment="0" applyProtection="0"/>
  </x:cellStyleXfs>
  <x:cellXfs count="118">
    <x:xf numFmtId="0" fontId="0" fillId="0" borderId="0" xfId="0"/>
    <x:xf numFmtId="0" fontId="2" fillId="3" borderId="1" xfId="1" applyNumberFormat="1" applyFont="1" applyFill="1" applyBorder="1" applyAlignment="1">
      <x:alignment horizontal="center" vertical="center" wrapText="1"/>
    </x:xf>
    <x:xf numFmtId="0" fontId="2" fillId="3" borderId="3" xfId="1" applyNumberFormat="1" applyFont="1" applyFill="1" applyBorder="1" applyAlignment="1">
      <x:alignment horizontal="center" vertical="center" wrapText="1"/>
    </x:xf>
    <x:xf numFmtId="0" fontId="2" fillId="3" borderId="2" xfId="1" applyNumberFormat="1" applyFont="1" applyFill="1" applyBorder="1" applyAlignment="1">
      <x:alignment horizontal="center" vertical="center" wrapText="1"/>
    </x:xf>
    <x:xf numFmtId="0" fontId="2" fillId="3" borderId="13" xfId="1" applyNumberFormat="1" applyFont="1" applyFill="1" applyBorder="1" applyAlignment="1">
      <x:alignment horizontal="center" vertical="center" wrapText="1"/>
    </x:xf>
    <x:xf numFmtId="0" fontId="2" fillId="3" borderId="14" xfId="1" applyNumberFormat="1" applyFont="1" applyFill="1" applyBorder="1" applyAlignment="1">
      <x:alignment horizontal="center" vertical="center" wrapText="1"/>
    </x:xf>
    <x:xf numFmtId="0" fontId="2" fillId="3" borderId="15" xfId="1" applyNumberFormat="1" applyFont="1" applyFill="1" applyBorder="1" applyAlignment="1">
      <x:alignment horizontal="center" vertical="center" wrapText="1"/>
    </x:xf>
    <x:xf numFmtId="179" fontId="4" fillId="0" borderId="16" xfId="1" applyNumberFormat="1" applyFont="1" applyFill="1" applyBorder="1"/>
    <x:xf numFmtId="179" fontId="4" fillId="0" borderId="17" xfId="1" applyNumberFormat="1" applyFont="1" applyFill="1" applyBorder="1"/>
    <x:xf numFmtId="176" fontId="4" fillId="0" borderId="17" xfId="1" applyNumberFormat="1" applyFont="1" applyFill="1" applyBorder="1"/>
    <x:xf numFmtId="0" fontId="0" fillId="0" borderId="17" xfId="1" applyNumberFormat="1" applyFont="1" applyFill="1" applyBorder="1"/>
    <x:xf numFmtId="0" fontId="4" fillId="0" borderId="17" xfId="1" applyNumberFormat="1" applyFont="1" applyFill="1" applyBorder="1"/>
    <x:xf numFmtId="177" fontId="4" fillId="0" borderId="17" xfId="1" applyNumberFormat="1" applyFont="1" applyFill="1" applyBorder="1"/>
    <x:xf numFmtId="178" fontId="4" fillId="0" borderId="17" xfId="1" applyNumberFormat="1" applyFont="1" applyFill="1" applyBorder="1"/>
    <x:xf numFmtId="0" fontId="4" fillId="0" borderId="18" xfId="1" applyNumberFormat="1" applyFont="1" applyFill="1" applyBorder="1"/>
    <x:xf numFmtId="179" fontId="4" fillId="0" borderId="19" xfId="1" applyNumberFormat="1" applyFont="1" applyFill="1" applyBorder="1"/>
    <x:xf numFmtId="179" fontId="4" fillId="0" borderId="20" xfId="1" applyNumberFormat="1" applyFont="1" applyFill="1" applyBorder="1"/>
    <x:xf numFmtId="176" fontId="4" fillId="0" borderId="20" xfId="1" applyNumberFormat="1" applyFont="1" applyFill="1" applyBorder="1"/>
    <x:xf numFmtId="0" fontId="0" fillId="0" borderId="20" xfId="1" applyNumberFormat="1" applyFont="1" applyFill="1" applyBorder="1"/>
    <x:xf numFmtId="0" fontId="4" fillId="0" borderId="20" xfId="1" applyNumberFormat="1" applyFont="1" applyFill="1" applyBorder="1"/>
    <x:xf numFmtId="177" fontId="4" fillId="0" borderId="20" xfId="1" applyNumberFormat="1" applyFont="1" applyFill="1" applyBorder="1"/>
    <x:xf numFmtId="178" fontId="4" fillId="0" borderId="20" xfId="1" applyNumberFormat="1" applyFont="1" applyFill="1" applyBorder="1"/>
    <x:xf numFmtId="0" fontId="4" fillId="0" borderId="21" xfId="1" applyNumberFormat="1" applyFont="1" applyFill="1" applyBorder="1"/>
    <x:xf numFmtId="0" fontId="0" fillId="0" borderId="23" xfId="1" applyNumberFormat="1" applyFont="1" applyFill="1" applyBorder="1"/>
    <x:xf numFmtId="0" fontId="0" fillId="0" borderId="26" xfId="1" applyNumberFormat="1" applyFont="1" applyFill="1" applyBorder="1"/>
    <x:xf numFmtId="176" fontId="0" fillId="0" borderId="22" xfId="1" applyNumberFormat="1" applyFont="1" applyFill="1" applyBorder="1"/>
    <x:xf numFmtId="176" fontId="0" fillId="0" borderId="24" xfId="1" applyNumberFormat="1" applyFont="1" applyFill="1" applyBorder="1"/>
    <x:xf numFmtId="176" fontId="0" fillId="0" borderId="25" xfId="1" applyNumberFormat="1" applyFont="1" applyFill="1" applyBorder="1"/>
    <x:xf numFmtId="179" fontId="0" fillId="0" borderId="23" xfId="1" applyNumberFormat="1" applyFont="1" applyFill="1" applyBorder="1"/>
    <x:xf numFmtId="179" fontId="0" fillId="0" borderId="17" xfId="1" applyNumberFormat="1" applyFont="1" applyFill="1" applyBorder="1"/>
    <x:xf numFmtId="179" fontId="0" fillId="0" borderId="26" xfId="1" applyNumberFormat="1" applyFont="1" applyFill="1" applyBorder="1"/>
    <x:xf numFmtId="10" fontId="0" fillId="0" borderId="23" xfId="1" applyNumberFormat="1" applyFont="1" applyFill="1" applyBorder="1"/>
    <x:xf numFmtId="0" fontId="0" fillId="0" borderId="23" xfId="1" applyNumberFormat="1" applyFont="1" applyFill="1" applyBorder="1" applyAlignment="1">
      <x:alignment wrapText="1"/>
    </x:xf>
    <x:xf numFmtId="0" fontId="0" fillId="0" borderId="17" xfId="1" applyNumberFormat="1" applyFont="1" applyFill="1" applyBorder="1" applyAlignment="1">
      <x:alignment wrapText="1"/>
    </x:xf>
    <x:xf numFmtId="0" fontId="0" fillId="0" borderId="26" xfId="1" applyNumberFormat="1" applyFont="1" applyFill="1" applyBorder="1" applyAlignment="1">
      <x:alignment wrapText="1"/>
    </x:xf>
    <x:xf numFmtId="0" fontId="0" fillId="0" borderId="4" xfId="1" applyNumberFormat="1" applyFont="1" applyFill="1" applyBorder="1" applyAlignment="1">
      <x:alignment wrapText="1"/>
    </x:xf>
    <x:xf numFmtId="0" fontId="0" fillId="0" borderId="5" xfId="1" applyNumberFormat="1" applyFont="1" applyFill="1" applyBorder="1" applyAlignment="1">
      <x:alignment wrapText="1"/>
    </x:xf>
    <x:xf numFmtId="0" fontId="5" fillId="0" borderId="4" xfId="1" applyNumberFormat="1" applyFont="1" applyFill="1" applyBorder="1" applyAlignment="1">
      <x:alignment wrapText="1"/>
    </x:xf>
    <x:xf numFmtId="0" fontId="9" fillId="0" borderId="18" xfId="1" applyNumberFormat="1" applyFont="1" applyFill="1" applyBorder="1"/>
    <x:xf numFmtId="0" fontId="10" fillId="0" borderId="23" xfId="2" applyNumberFormat="1" applyFill="1" applyBorder="1" applyAlignment="1">
      <x:alignment wrapText="1"/>
    </x:xf>
    <x:xf numFmtId="0" fontId="1" fillId="2" borderId="0" xfId="1" applyNumberFormat="1" applyFont="1" applyFill="1" applyBorder="1" applyAlignment="1">
      <x:alignment horizontal="left" vertical="center"/>
    </x:xf>
    <x:xf numFmtId="0" fontId="6" fillId="5" borderId="7" xfId="1" applyNumberFormat="1" applyFont="1" applyFill="1" applyBorder="1" applyAlignment="1">
      <x:alignment vertical="top" wrapText="1"/>
    </x:xf>
    <x:xf numFmtId="0" fontId="6" fillId="5" borderId="8" xfId="1" applyNumberFormat="1" applyFont="1" applyFill="1" applyBorder="1" applyAlignment="1">
      <x:alignment vertical="top" wrapText="1"/>
    </x:xf>
    <x:xf numFmtId="0" fontId="6" fillId="5" borderId="9" xfId="1" applyNumberFormat="1" applyFont="1" applyFill="1" applyBorder="1" applyAlignment="1">
      <x:alignment vertical="top" wrapText="1"/>
    </x:xf>
    <x:xf numFmtId="0" fontId="6" fillId="5" borderId="10" xfId="1" applyNumberFormat="1" applyFont="1" applyFill="1" applyBorder="1" applyAlignment="1">
      <x:alignment vertical="top" wrapText="1"/>
    </x:xf>
    <x:xf numFmtId="0" fontId="6" fillId="5" borderId="11" xfId="1" applyNumberFormat="1" applyFont="1" applyFill="1" applyBorder="1" applyAlignment="1">
      <x:alignment vertical="top" wrapText="1"/>
    </x:xf>
    <x:xf numFmtId="0" fontId="6" fillId="5" borderId="12" xfId="1" applyNumberFormat="1" applyFont="1" applyFill="1" applyBorder="1" applyAlignment="1">
      <x:alignment vertical="top" wrapText="1"/>
    </x:xf>
    <x:xf numFmtId="0" fontId="3" fillId="4" borderId="0" xfId="1" applyNumberFormat="1" applyFont="1" applyFill="1" applyBorder="1" applyAlignment="1">
      <x:alignment horizontal="left" vertical="center"/>
    </x:xf>
    <x:xf numFmtId="0" fontId="0" fillId="0" borderId="5" xfId="1" applyNumberFormat="1" applyFont="1" applyFill="1" applyBorder="1" applyAlignment="1">
      <x:alignment wrapText="1"/>
    </x:xf>
    <x:xf numFmtId="0" fontId="0" fillId="0" borderId="6" xfId="1" applyNumberFormat="1" applyFont="1" applyFill="1" applyBorder="1" applyAlignment="1">
      <x:alignment wrapText="1"/>
    </x:xf>
    <x:xf numFmtId="176" fontId="0" fillId="0" borderId="22" xfId="0" applyNumberFormat="1" applyFont="1" applyFill="1" applyBorder="1"/>
    <x:xf numFmtId="176" fontId="0" fillId="0" borderId="24" xfId="0" applyNumberFormat="1" applyFont="1" applyFill="1" applyBorder="1"/>
    <x:xf numFmtId="176" fontId="0" fillId="0" borderId="25" xfId="0" applyNumberFormat="1" applyFont="1" applyFill="1" applyBorder="1"/>
    <x:xf numFmtId="176" fontId="0" fillId="0" borderId="0" xfId="0" applyNumberFormat="1" applyFont="1" applyFill="1" applyBorder="1"/>
    <x:xf numFmtId="176" fontId="0" fillId="0" borderId="23" xfId="0" applyNumberFormat="1" applyFont="1" applyFill="1" applyBorder="1"/>
    <x:xf numFmtId="176" fontId="0" fillId="0" borderId="17" xfId="0" applyNumberFormat="1" applyFont="1" applyFill="1" applyBorder="1"/>
    <x:xf numFmtId="176" fontId="0" fillId="0" borderId="26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176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176" fontId="0" fillId="0" borderId="23" xfId="0" applyNumberFormat="1" applyFont="1" applyFill="1" applyBorder="1" applyAlignment="1">
      <x:alignment wrapText="1"/>
    </x:xf>
    <x:xf numFmtId="10" fontId="0" fillId="0" borderId="23" xfId="0" applyNumberFormat="1" applyFont="1" applyFill="1" applyBorder="1" applyAlignment="1">
      <x:alignment wrapText="1"/>
    </x:xf>
    <x:xf numFmtId="0" fontId="10" fillId="0" borderId="2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176" fontId="0" fillId="0" borderId="24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176" fontId="0" fillId="0" borderId="17" xfId="0" applyNumberFormat="1" applyFont="1" applyFill="1" applyBorder="1" applyAlignment="1">
      <x:alignment wrapText="1"/>
    </x:xf>
    <x:xf numFmtId="176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176" fontId="0" fillId="0" borderId="26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27" xfId="0" applyNumberFormat="1" applyFont="1" applyFill="1" applyBorder="1" applyAlignment="1">
      <x:alignment horizontal="center" vertical="center" wrapText="1"/>
    </x:xf>
    <x:xf numFmtId="0" fontId="2" fillId="6" borderId="28" xfId="0" applyNumberFormat="1" applyFont="1" applyFill="1" applyBorder="1" applyAlignment="1">
      <x:alignment horizontal="center" vertical="center" wrapText="1"/>
    </x:xf>
    <x:xf numFmtId="0" fontId="2" fillId="6" borderId="28" xfId="0" applyNumberFormat="1" applyFont="1" applyFill="1" applyBorder="1" applyAlignment="1">
      <x:alignment wrapText="1"/>
    </x:xf>
    <x:xf numFmtId="0" fontId="2" fillId="6" borderId="29" xfId="0" applyNumberFormat="1" applyFont="1" applyFill="1" applyBorder="1" applyAlignment="1">
      <x:alignment wrapText="1"/>
    </x:xf>
    <x:xf numFmtId="0" fontId="2" fillId="6" borderId="28" xfId="0" applyNumberFormat="1" applyFont="1" applyFill="1" applyBorder="1" applyAlignment="1">
      <x:alignment horizontal="center" wrapText="1"/>
    </x:xf>
    <x:xf numFmtId="0" fontId="2" fillId="6" borderId="29" xfId="0" applyNumberFormat="1" applyFont="1" applyFill="1" applyBorder="1" applyAlignment="1">
      <x:alignment horizontal="center" wrapText="1"/>
    </x:xf>
    <x:xf numFmtId="0" fontId="2" fillId="6" borderId="29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left" vertical="center" wrapText="1"/>
    </x:xf>
    <x:xf numFmtId="0" fontId="11" fillId="7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2" fillId="6" borderId="6" xfId="0" applyNumberFormat="1" applyFont="1" applyFill="1" applyBorder="1" applyAlignment="1">
      <x:alignment vertical="center" wrapText="1"/>
    </x:xf>
    <x:xf numFmtId="0" fontId="2" fillId="6" borderId="30" xfId="0" applyNumberFormat="1" applyFont="1" applyFill="1" applyBorder="1" applyAlignment="1">
      <x:alignment vertical="center" wrapText="1"/>
    </x:xf>
    <x:xf numFmtId="0" fontId="2" fillId="6" borderId="31" xfId="0" applyNumberFormat="1" applyFont="1" applyFill="1" applyBorder="1" applyAlignment="1">
      <x:alignment vertical="center" wrapText="1"/>
    </x:xf>
    <x:xf numFmtId="0" fontId="2" fillId="6" borderId="30" xfId="0" applyNumberFormat="1" applyFont="1" applyFill="1" applyBorder="1" applyAlignment="1">
      <x:alignment horizontal="center" vertical="center" wrapText="1"/>
    </x:xf>
    <x:xf numFmtId="0" fontId="2" fillId="6" borderId="3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28" xfId="0" applyNumberFormat="1" applyFont="1" applyFill="1" applyBorder="1" applyAlignment="1">
      <x:alignment vertical="center" wrapText="1"/>
    </x:xf>
  </x:cellXfs>
  <x:cellStyles count="3">
    <x:cellStyle name="Normal" xfId="1"/>
    <x:cellStyle name="常规" xfId="0"/>
    <x:cellStyle name="超链接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5cd43f8fc4c5a" /><Relationship Type="http://schemas.openxmlformats.org/officeDocument/2006/relationships/theme" Target="/xl/theme/theme1.xml" Id="R082f56154c1748f7" /><Relationship Type="http://schemas.openxmlformats.org/officeDocument/2006/relationships/sharedStrings" Target="/xl/sharedStrings.xml" Id="R5023083609d74571" /><Relationship Type="http://schemas.openxmlformats.org/officeDocument/2006/relationships/worksheet" Target="/xl/worksheets/sheet1.xml" Id="R5cb1ba78739e4714" /><Relationship Type="http://schemas.openxmlformats.org/officeDocument/2006/relationships/worksheet" Target="/xl/worksheets/sheet2.xml" Id="R10005e070b8b4379" /><Relationship Type="http://schemas.openxmlformats.org/officeDocument/2006/relationships/worksheet" Target="/xl/worksheets/sheet3.xml" Id="Rffc6662e44d342e8" /><Relationship Type="http://schemas.microsoft.com/office/2017/10/relationships/person" Target="/xl/persons/person.xml" Id="R938a07e45bc4427b" /></Relationships>
</file>

<file path=xl/persons/person.xml><?xml version="1.0" encoding="utf-8"?>
<xltc:personList xmlns:xltc="http://schemas.microsoft.com/office/spreadsheetml/2018/threadedcomments">
  <xltc:person displayName="User" id="{5AD1774D-B44D-4CF4-82F0-19DA288200B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fund.eastmoney.com/021934.html" TargetMode="External" Id="R9c019705041446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1" hidden="0" customWidth="1"/>
    <x:col min="2" max="2" width="38" hidden="0" customWidth="1"/>
    <x:col min="3" max="3" width="18" hidden="0" customWidth="1"/>
    <x:col min="4" max="4" width="28" hidden="0" customWidth="1"/>
    <x:col min="5" max="5" width="15" hidden="0" customWidth="1"/>
    <x:col min="6" max="6" width="25" hidden="0" customWidth="1"/>
    <x:col min="7" max="7" width="9" hidden="0" customWidth="1"/>
    <x:col min="8" max="8" width="14" hidden="0" customWidth="1"/>
    <x:col min="9" max="9" width="13" hidden="0" customWidth="1"/>
    <x:col min="10" max="10" width="18" hidden="0" customWidth="1"/>
    <x:col min="11" max="11" width="42" hidden="0" customWidth="1"/>
    <x:col min="12" max="12" width="38" hidden="0" customWidth="1"/>
    <x:col min="13" max="13" width="15" hidden="0" customWidth="1"/>
  </x:cols>
  <x:sheetData>
    <x:row r="1" ht="30" customHeight="1">
      <x:c r="A1" s="59" t="str">
        <x:v>基金信息与数据来源</x:v>
      </x:c>
      <x:c r="B1" s="59" t="str">
        <x:v>基金信息与数据来源</x:v>
      </x:c>
      <x:c r="C1" s="59" t="str">
        <x:v>基金信息与数据来源</x:v>
      </x:c>
      <x:c r="D1" s="59" t="str">
        <x:v>基金信息与数据来源</x:v>
      </x:c>
      <x:c r="E1" s="59" t="str">
        <x:v>基金信息与数据来源</x:v>
      </x:c>
      <x:c r="F1" s="59" t="str">
        <x:v>基金信息与数据来源</x:v>
      </x:c>
      <x:c r="G1" s="59" t="str">
        <x:v>基金信息与数据来源</x:v>
      </x:c>
      <x:c r="H1" s="59" t="str">
        <x:v>基金信息与数据来源</x:v>
      </x:c>
      <x:c r="I1" s="60" t="str">
        <x:v>基金信息与数据来源</x:v>
      </x:c>
      <x:c r="J1" s="60" t="str">
        <x:v>基金信息与数据来源</x:v>
      </x:c>
      <x:c r="K1" s="60" t="str">
        <x:v>基金信息与数据来源</x:v>
      </x:c>
      <x:c r="L1" s="60" t="str">
        <x:v>基金信息与数据来源</x:v>
      </x:c>
      <x:c r="M1" s="60" t="str">
        <x:v>基金信息与数据来源</x:v>
      </x:c>
    </x:row>
    <x:row r="2">
      <x:c r="A2" s="61" t="str">
        <x:v>新增基金时先从天天基金查询并同步基础信息；关联场内ETF必须能唯一确认，否则留空并提示。技术面使用关联ETF前复权日K，量能使用ETF成交额。基金信息和映射需记录同步日期。</x:v>
      </x:c>
      <x:c r="B2" s="62"/>
      <x:c r="C2" s="62"/>
      <x:c r="D2" s="62"/>
      <x:c r="E2" s="62"/>
      <x:c r="F2" s="62"/>
      <x:c r="G2" s="62"/>
      <x:c r="H2" s="62"/>
      <x:c r="I2" s="60"/>
      <x:c r="J2" s="60"/>
      <x:c r="K2" s="60"/>
      <x:c r="L2" s="60"/>
      <x:c r="M2" s="60"/>
    </x:row>
    <x:row r="3">
      <x:c r="A3" s="63"/>
      <x:c r="B3" s="64"/>
      <x:c r="C3" s="64"/>
      <x:c r="D3" s="64"/>
      <x:c r="E3" s="64"/>
      <x:c r="F3" s="64"/>
      <x:c r="G3" s="64"/>
      <x:c r="H3" s="64"/>
      <x:c r="I3" s="60"/>
      <x:c r="J3" s="60"/>
      <x:c r="K3" s="60"/>
      <x:c r="L3" s="60"/>
      <x:c r="M3" s="60"/>
    </x:row>
    <x:row r="4">
      <x:c r="A4" s="60"/>
      <x:c r="B4" s="60"/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</x:row>
    <x:row r="5" ht="30" customHeight="1">
      <x:c r="A5" s="94" t="str">
        <x:v>基金代码</x:v>
      </x:c>
      <x:c r="B5" s="95" t="str">
        <x:v>基金名称</x:v>
      </x:c>
      <x:c r="C5" s="95" t="str">
        <x:v>主题</x:v>
      </x:c>
      <x:c r="D5" s="95" t="str">
        <x:v>跟踪指数</x:v>
      </x:c>
      <x:c r="E5" s="95" t="str">
        <x:v>关联场内ETF代码</x:v>
      </x:c>
      <x:c r="F5" s="95" t="str">
        <x:v>关联场内ETF名称</x:v>
      </x:c>
      <x:c r="G5" s="95" t="str">
        <x:v>交易所</x:v>
      </x:c>
      <x:c r="H5" s="95" t="str">
        <x:v>行情SecID</x:v>
      </x:c>
      <x:c r="I5" s="95" t="str">
        <x:v>成立日期</x:v>
      </x:c>
      <x:c r="J5" s="95" t="str">
        <x:v>C类销售服务费/年</x:v>
      </x:c>
      <x:c r="K5" s="95" t="str">
        <x:v>赎回费及说明</x:v>
      </x:c>
      <x:c r="L5" s="95" t="str">
        <x:v>天天基金页面</x:v>
      </x:c>
      <x:c r="M5" s="100" t="str">
        <x:v>信息同步日期</x:v>
      </x:c>
    </x:row>
    <x:row r="6" ht="31.799999237060547" customHeight="1">
      <x:c r="A6" s="67" t="n">
        <x:v>21934</x:v>
      </x:c>
      <x:c r="B6" s="68" t="str">
        <x:v>富国中证通信设备主题ETF发起式联接C</x:v>
      </x:c>
      <x:c r="C6" s="68" t="str">
        <x:v>通信设备</x:v>
      </x:c>
      <x:c r="D6" s="68" t="str">
        <x:v>中证通信设备主题指数</x:v>
      </x:c>
      <x:c r="E6" s="69" t="n">
        <x:v>159583</x:v>
      </x:c>
      <x:c r="F6" s="70" t="str">
        <x:v>通信ETF富国</x:v>
      </x:c>
      <x:c r="G6" s="68" t="str">
        <x:v>SZ</x:v>
      </x:c>
      <x:c r="H6" s="71" t="str">
        <x:v>0.159583</x:v>
      </x:c>
      <x:c r="I6" s="72" t="n">
        <x:v>45520</x:v>
      </x:c>
      <x:c r="J6" s="73" t="n">
        <x:v>0.002</x:v>
      </x:c>
      <x:c r="K6" s="60" t="str">
        <x:v>持有&lt;7日：1.50%；持有≥7日：0</x:v>
      </x:c>
      <x:c r="L6" s="60" t="str">
        <x:v>https://fund.eastmoney.com/021934.html</x:v>
      </x:c>
      <x:c r="M6" s="72" t="n">
        <x:v>46251</x:v>
      </x:c>
    </x:row>
    <x:row r="7" ht="42" customHeight="1">
      <x:c r="A7" s="74" t="n">
        <x:v>23652</x:v>
      </x:c>
      <x:c r="B7" s="75" t="str">
        <x:v>富国上证科创板芯片ETF发起式联接C</x:v>
      </x:c>
      <x:c r="C7" s="75" t="str">
        <x:v>半导体全产业链</x:v>
      </x:c>
      <x:c r="D7" s="75" t="str">
        <x:v>上证科创板芯片指数</x:v>
      </x:c>
      <x:c r="E7" s="76" t="n">
        <x:v>588810</x:v>
      </x:c>
      <x:c r="F7" s="70" t="str">
        <x:v>科创芯片ETF富国</x:v>
      </x:c>
      <x:c r="G7" s="75" t="str">
        <x:v>SH</x:v>
      </x:c>
      <x:c r="H7" s="75" t="str">
        <x:v>1.588810</x:v>
      </x:c>
      <x:c r="I7" s="72" t="n">
        <x:v>45747</x:v>
      </x:c>
      <x:c r="J7" s="73" t="n">
        <x:v>0.002</x:v>
      </x:c>
      <x:c r="K7" s="60" t="str">
        <x:v>持有&lt;7日：1.50%；持有≥7日：0</x:v>
      </x:c>
      <x:c r="L7" s="60" t="str">
        <x:v>https://fund.eastmoney.com/023652.html</x:v>
      </x:c>
      <x:c r="M7" s="72" t="n">
        <x:v>46251</x:v>
      </x:c>
    </x:row>
    <x:row r="8" ht="42" customHeight="1">
      <x:c r="A8" s="74" t="n">
        <x:v>24663</x:v>
      </x:c>
      <x:c r="B8" s="75" t="str">
        <x:v>富国创业板人工智能ETF发起式联接C</x:v>
      </x:c>
      <x:c r="C8" s="75" t="str">
        <x:v>创业板人工智能</x:v>
      </x:c>
      <x:c r="D8" s="75" t="str">
        <x:v>创业板人工智能指数</x:v>
      </x:c>
      <x:c r="E8" s="76" t="n">
        <x:v>159246</x:v>
      </x:c>
      <x:c r="F8" s="70" t="str">
        <x:v>创业板人工智能ETF富国</x:v>
      </x:c>
      <x:c r="G8" s="75" t="str">
        <x:v>SZ</x:v>
      </x:c>
      <x:c r="H8" s="75" t="str">
        <x:v>0.159246</x:v>
      </x:c>
      <x:c r="I8" s="72" t="n">
        <x:v>45854</x:v>
      </x:c>
      <x:c r="J8" s="73" t="n">
        <x:v>0.002</x:v>
      </x:c>
      <x:c r="K8" s="60" t="str">
        <x:v>持有&lt;7日：1.50%；持有≥7日：0</x:v>
      </x:c>
      <x:c r="L8" s="60" t="str">
        <x:v>https://fund.eastmoney.com/024663.html</x:v>
      </x:c>
      <x:c r="M8" s="72" t="n">
        <x:v>46251</x:v>
      </x:c>
    </x:row>
    <x:row r="9" ht="42" customHeight="1">
      <x:c r="A9" s="74" t="n">
        <x:v>15877</x:v>
      </x:c>
      <x:c r="B9" s="75" t="str">
        <x:v>富国中证消费电子主题ETF发起式联接C</x:v>
      </x:c>
      <x:c r="C9" s="75" t="str">
        <x:v>消费电子</x:v>
      </x:c>
      <x:c r="D9" s="75" t="str">
        <x:v>中证消费电子主题指数</x:v>
      </x:c>
      <x:c r="E9" s="76" t="n">
        <x:v>561100</x:v>
      </x:c>
      <x:c r="F9" s="70" t="str">
        <x:v>消费电子ETF富国</x:v>
      </x:c>
      <x:c r="G9" s="75" t="str">
        <x:v>SH</x:v>
      </x:c>
      <x:c r="H9" s="75" t="str">
        <x:v>1.561100</x:v>
      </x:c>
      <x:c r="I9" s="72" t="n">
        <x:v>44726</x:v>
      </x:c>
      <x:c r="J9" s="73" t="n">
        <x:v>0.002</x:v>
      </x:c>
      <x:c r="K9" s="60" t="str">
        <x:v>持有&lt;7日：1.50%；持有≥7日：0</x:v>
      </x:c>
      <x:c r="L9" s="60" t="str">
        <x:v>https://fund.eastmoney.com/015877.html</x:v>
      </x:c>
      <x:c r="M9" s="72" t="n">
        <x:v>46251</x:v>
      </x:c>
    </x:row>
    <x:row r="10" ht="42" customHeight="1">
      <x:c r="A10" s="77" t="n">
        <x:v>27521</x:v>
      </x:c>
      <x:c r="B10" s="78" t="str">
        <x:v>广发上证科创板芯片设计ETF联接C</x:v>
      </x:c>
      <x:c r="C10" s="78" t="str">
        <x:v>芯片设计</x:v>
      </x:c>
      <x:c r="D10" s="78" t="str">
        <x:v>上证科创板芯片设计主题指数</x:v>
      </x:c>
      <x:c r="E10" s="79" t="n">
        <x:v>589210</x:v>
      </x:c>
      <x:c r="F10" s="70" t="str">
        <x:v>科创芯片设计ETF广发</x:v>
      </x:c>
      <x:c r="G10" s="78" t="str">
        <x:v>SH</x:v>
      </x:c>
      <x:c r="H10" s="78" t="str">
        <x:v>1.589210</x:v>
      </x:c>
      <x:c r="I10" s="72" t="n">
        <x:v>46177</x:v>
      </x:c>
      <x:c r="J10" s="73" t="n">
        <x:v>0.002</x:v>
      </x:c>
      <x:c r="K10" s="60" t="str">
        <x:v>持有&lt;7日：1.50%；持有≥7日：0；销售服务费持有≥365日为0</x:v>
      </x:c>
      <x:c r="L10" s="60" t="str">
        <x:v>https://fund.eastmoney.com/027521.html</x:v>
      </x:c>
      <x:c r="M10" s="72" t="n">
        <x:v>46251</x:v>
      </x:c>
    </x:row>
    <x:row r="11">
      <x:c r="A11"/>
      <x:c r="E11"/>
      <x:c r="I11"/>
      <x:c r="J11"/>
      <x:c r="M11"/>
    </x:row>
    <x:row r="12">
      <x:c r="A12"/>
      <x:c r="E12"/>
      <x:c r="I12"/>
      <x:c r="J12"/>
      <x:c r="M12"/>
    </x:row>
    <x:row r="13">
      <x:c r="A13"/>
      <x:c r="E13"/>
      <x:c r="I13"/>
      <x:c r="J13"/>
      <x:c r="M13"/>
    </x:row>
    <x:row r="14">
      <x:c r="A14"/>
      <x:c r="E14"/>
      <x:c r="I14"/>
      <x:c r="J14"/>
      <x:c r="M14"/>
    </x:row>
    <x:row r="15">
      <x:c r="A15"/>
      <x:c r="E15"/>
      <x:c r="I15"/>
      <x:c r="J15"/>
      <x:c r="M15"/>
    </x:row>
    <x:row r="16">
      <x:c r="A16"/>
      <x:c r="E16"/>
      <x:c r="I16"/>
      <x:c r="J16"/>
      <x:c r="M16"/>
    </x:row>
    <x:row r="17">
      <x:c r="A17"/>
      <x:c r="E17"/>
      <x:c r="I17"/>
      <x:c r="J17"/>
      <x:c r="M17"/>
    </x:row>
    <x:row r="18">
      <x:c r="A18"/>
      <x:c r="E18"/>
      <x:c r="I18"/>
      <x:c r="J18"/>
      <x:c r="M18"/>
    </x:row>
    <x:row r="19">
      <x:c r="A19"/>
      <x:c r="E19"/>
      <x:c r="I19"/>
      <x:c r="J19"/>
      <x:c r="M19"/>
    </x:row>
    <x:row r="20">
      <x:c r="A20"/>
      <x:c r="E20"/>
      <x:c r="I20"/>
      <x:c r="J20"/>
      <x:c r="M20"/>
    </x:row>
    <x:row r="21">
      <x:c r="A21"/>
      <x:c r="E21"/>
      <x:c r="I21"/>
      <x:c r="J21"/>
      <x:c r="M21"/>
    </x:row>
    <x:row r="22">
      <x:c r="A22"/>
      <x:c r="E22"/>
      <x:c r="I22"/>
      <x:c r="J22"/>
      <x:c r="M22"/>
    </x:row>
    <x:row r="23">
      <x:c r="A23"/>
      <x:c r="E23"/>
      <x:c r="I23"/>
      <x:c r="J23"/>
      <x:c r="M23"/>
    </x:row>
    <x:row r="24">
      <x:c r="A24"/>
      <x:c r="E24"/>
      <x:c r="I24"/>
      <x:c r="J24"/>
      <x:c r="M24"/>
    </x:row>
    <x:row r="25">
      <x:c r="A25"/>
      <x:c r="E25"/>
      <x:c r="I25"/>
      <x:c r="J25"/>
      <x:c r="M25"/>
    </x:row>
    <x:row r="26">
      <x:c r="A26"/>
      <x:c r="E26"/>
      <x:c r="I26"/>
      <x:c r="J26"/>
      <x:c r="M26"/>
    </x:row>
    <x:row r="27">
      <x:c r="A27"/>
      <x:c r="E27"/>
      <x:c r="I27"/>
      <x:c r="J27"/>
      <x:c r="M27"/>
    </x:row>
    <x:row r="28">
      <x:c r="A28"/>
      <x:c r="E28"/>
      <x:c r="I28"/>
      <x:c r="J28"/>
      <x:c r="M28"/>
    </x:row>
    <x:row r="29">
      <x:c r="A29"/>
      <x:c r="E29"/>
      <x:c r="I29"/>
      <x:c r="J29"/>
      <x:c r="M29"/>
    </x:row>
    <x:row r="30">
      <x:c r="A30"/>
      <x:c r="E30"/>
      <x:c r="I30"/>
      <x:c r="J30"/>
      <x:c r="M30"/>
    </x:row>
    <x:row r="31">
      <x:c r="A31"/>
      <x:c r="E31"/>
      <x:c r="I31"/>
      <x:c r="J31"/>
      <x:c r="M31"/>
    </x:row>
    <x:row r="32">
      <x:c r="A32"/>
      <x:c r="E32"/>
      <x:c r="I32"/>
      <x:c r="J32"/>
      <x:c r="M32"/>
    </x:row>
    <x:row r="33">
      <x:c r="A33"/>
      <x:c r="E33"/>
      <x:c r="I33"/>
      <x:c r="J33"/>
      <x:c r="M33"/>
    </x:row>
    <x:row r="34">
      <x:c r="A34"/>
      <x:c r="E34"/>
      <x:c r="I34"/>
      <x:c r="J34"/>
      <x:c r="M34"/>
    </x:row>
    <x:row r="35">
      <x:c r="A35"/>
      <x:c r="E35"/>
      <x:c r="I35"/>
      <x:c r="J35"/>
      <x:c r="M35"/>
    </x:row>
    <x:row r="36">
      <x:c r="A36"/>
      <x:c r="E36"/>
      <x:c r="I36"/>
      <x:c r="J36"/>
      <x:c r="M36"/>
    </x:row>
    <x:row r="37">
      <x:c r="A37"/>
      <x:c r="E37"/>
      <x:c r="I37"/>
      <x:c r="J37"/>
      <x:c r="M37"/>
    </x:row>
    <x:row r="38">
      <x:c r="A38"/>
      <x:c r="E38"/>
      <x:c r="I38"/>
      <x:c r="J38"/>
      <x:c r="M38"/>
    </x:row>
    <x:row r="39">
      <x:c r="A39"/>
      <x:c r="E39"/>
      <x:c r="I39"/>
      <x:c r="J39"/>
      <x:c r="M39"/>
    </x:row>
    <x:row r="40">
      <x:c r="A40"/>
      <x:c r="E40"/>
      <x:c r="I40"/>
      <x:c r="J40"/>
      <x:c r="M40"/>
    </x:row>
    <x:row r="41">
      <x:c r="A41"/>
      <x:c r="E41"/>
      <x:c r="I41"/>
      <x:c r="J41"/>
      <x:c r="M41"/>
    </x:row>
    <x:row r="42">
      <x:c r="A42"/>
      <x:c r="E42"/>
      <x:c r="I42"/>
      <x:c r="J42"/>
      <x:c r="M42"/>
    </x:row>
    <x:row r="43">
      <x:c r="A43"/>
      <x:c r="E43"/>
      <x:c r="I43"/>
      <x:c r="J43"/>
      <x:c r="M43"/>
    </x:row>
    <x:row r="44">
      <x:c r="A44"/>
      <x:c r="E44"/>
      <x:c r="I44"/>
      <x:c r="J44"/>
      <x:c r="M44"/>
    </x:row>
    <x:row r="45">
      <x:c r="A45"/>
      <x:c r="E45"/>
      <x:c r="I45"/>
      <x:c r="J45"/>
      <x:c r="M45"/>
    </x:row>
    <x:row r="46">
      <x:c r="A46"/>
      <x:c r="E46"/>
      <x:c r="I46"/>
      <x:c r="J46"/>
      <x:c r="M46"/>
    </x:row>
    <x:row r="47">
      <x:c r="A47"/>
      <x:c r="E47"/>
      <x:c r="I47"/>
      <x:c r="J47"/>
      <x:c r="M47"/>
    </x:row>
    <x:row r="48">
      <x:c r="A48"/>
      <x:c r="E48"/>
      <x:c r="I48"/>
      <x:c r="J48"/>
      <x:c r="M48"/>
    </x:row>
    <x:row r="49">
      <x:c r="A49"/>
      <x:c r="E49"/>
      <x:c r="I49"/>
      <x:c r="J49"/>
      <x:c r="M49"/>
    </x:row>
    <x:row r="50">
      <x:c r="A50"/>
      <x:c r="E50"/>
      <x:c r="I50"/>
      <x:c r="J50"/>
      <x:c r="M50"/>
    </x:row>
    <x:row r="51">
      <x:c r="A51"/>
      <x:c r="E51"/>
      <x:c r="I51"/>
      <x:c r="J51"/>
      <x:c r="M51"/>
    </x:row>
    <x:row r="52">
      <x:c r="A52"/>
      <x:c r="E52"/>
      <x:c r="I52"/>
      <x:c r="J52"/>
      <x:c r="M52"/>
    </x:row>
    <x:row r="53">
      <x:c r="A53"/>
      <x:c r="E53"/>
      <x:c r="I53"/>
      <x:c r="J53"/>
      <x:c r="M53"/>
    </x:row>
    <x:row r="54">
      <x:c r="A54"/>
      <x:c r="E54"/>
      <x:c r="I54"/>
      <x:c r="J54"/>
      <x:c r="M54"/>
    </x:row>
    <x:row r="55">
      <x:c r="A55"/>
      <x:c r="E55"/>
      <x:c r="I55"/>
      <x:c r="J55"/>
      <x:c r="M55"/>
    </x:row>
    <x:row r="56">
      <x:c r="A56"/>
      <x:c r="E56"/>
      <x:c r="I56"/>
      <x:c r="J56"/>
      <x:c r="M56"/>
    </x:row>
    <x:row r="57">
      <x:c r="A57"/>
      <x:c r="E57"/>
      <x:c r="I57"/>
      <x:c r="J57"/>
      <x:c r="M57"/>
    </x:row>
    <x:row r="58">
      <x:c r="A58"/>
      <x:c r="E58"/>
      <x:c r="I58"/>
      <x:c r="J58"/>
      <x:c r="M58"/>
    </x:row>
    <x:row r="59">
      <x:c r="A59"/>
      <x:c r="E59"/>
      <x:c r="I59"/>
      <x:c r="J59"/>
      <x:c r="M59"/>
    </x:row>
    <x:row r="60">
      <x:c r="A60"/>
      <x:c r="E60"/>
      <x:c r="I60"/>
      <x:c r="J60"/>
      <x:c r="M60"/>
    </x:row>
    <x:row r="61">
      <x:c r="A61"/>
      <x:c r="E61"/>
      <x:c r="I61"/>
      <x:c r="J61"/>
      <x:c r="M61"/>
    </x:row>
    <x:row r="62">
      <x:c r="A62"/>
      <x:c r="E62"/>
      <x:c r="I62"/>
      <x:c r="J62"/>
      <x:c r="M62"/>
    </x:row>
    <x:row r="63">
      <x:c r="A63"/>
      <x:c r="E63"/>
      <x:c r="I63"/>
      <x:c r="J63"/>
      <x:c r="M63"/>
    </x:row>
    <x:row r="64">
      <x:c r="A64"/>
      <x:c r="E64"/>
      <x:c r="I64"/>
      <x:c r="J64"/>
      <x:c r="M64"/>
    </x:row>
    <x:row r="65">
      <x:c r="A65"/>
      <x:c r="E65"/>
      <x:c r="I65"/>
      <x:c r="J65"/>
      <x:c r="M65"/>
    </x:row>
    <x:row r="66">
      <x:c r="A66"/>
      <x:c r="E66"/>
      <x:c r="I66"/>
      <x:c r="J66"/>
      <x:c r="M66"/>
    </x:row>
    <x:row r="67">
      <x:c r="A67"/>
      <x:c r="E67"/>
      <x:c r="I67"/>
      <x:c r="J67"/>
      <x:c r="M67"/>
    </x:row>
    <x:row r="68">
      <x:c r="A68"/>
      <x:c r="E68"/>
      <x:c r="I68"/>
      <x:c r="J68"/>
      <x:c r="M68"/>
    </x:row>
    <x:row r="69">
      <x:c r="A69"/>
      <x:c r="E69"/>
      <x:c r="I69"/>
      <x:c r="J69"/>
      <x:c r="M69"/>
    </x:row>
    <x:row r="70">
      <x:c r="A70"/>
      <x:c r="E70"/>
      <x:c r="I70"/>
      <x:c r="J70"/>
      <x:c r="M70"/>
    </x:row>
    <x:row r="71">
      <x:c r="A71"/>
      <x:c r="E71"/>
      <x:c r="I71"/>
      <x:c r="J71"/>
      <x:c r="M71"/>
    </x:row>
    <x:row r="72">
      <x:c r="A72"/>
      <x:c r="E72"/>
      <x:c r="I72"/>
      <x:c r="J72"/>
      <x:c r="M72"/>
    </x:row>
    <x:row r="73">
      <x:c r="A73"/>
      <x:c r="E73"/>
      <x:c r="I73"/>
      <x:c r="J73"/>
      <x:c r="M73"/>
    </x:row>
    <x:row r="74">
      <x:c r="A74"/>
      <x:c r="E74"/>
      <x:c r="I74"/>
      <x:c r="J74"/>
      <x:c r="M74"/>
    </x:row>
    <x:row r="75">
      <x:c r="A75"/>
      <x:c r="E75"/>
      <x:c r="I75"/>
      <x:c r="J75"/>
      <x:c r="M75"/>
    </x:row>
    <x:row r="76">
      <x:c r="A76"/>
      <x:c r="E76"/>
      <x:c r="I76"/>
      <x:c r="J76"/>
      <x:c r="M76"/>
    </x:row>
    <x:row r="77">
      <x:c r="A77"/>
      <x:c r="E77"/>
      <x:c r="I77"/>
      <x:c r="J77"/>
      <x:c r="M77"/>
    </x:row>
    <x:row r="78">
      <x:c r="A78"/>
      <x:c r="E78"/>
      <x:c r="I78"/>
      <x:c r="J78"/>
      <x:c r="M78"/>
    </x:row>
    <x:row r="79">
      <x:c r="A79"/>
      <x:c r="E79"/>
      <x:c r="I79"/>
      <x:c r="J79"/>
      <x:c r="M79"/>
    </x:row>
    <x:row r="80">
      <x:c r="A80"/>
      <x:c r="E80"/>
      <x:c r="I80"/>
      <x:c r="J80"/>
      <x:c r="M80"/>
    </x:row>
    <x:row r="81">
      <x:c r="A81"/>
      <x:c r="E81"/>
      <x:c r="I81"/>
      <x:c r="J81"/>
      <x:c r="M81"/>
    </x:row>
    <x:row r="82">
      <x:c r="A82"/>
      <x:c r="E82"/>
      <x:c r="I82"/>
      <x:c r="J82"/>
      <x:c r="M82"/>
    </x:row>
    <x:row r="83">
      <x:c r="A83"/>
      <x:c r="E83"/>
      <x:c r="I83"/>
      <x:c r="J83"/>
      <x:c r="M83"/>
    </x:row>
    <x:row r="84">
      <x:c r="A84"/>
      <x:c r="E84"/>
      <x:c r="I84"/>
      <x:c r="J84"/>
      <x:c r="M84"/>
    </x:row>
    <x:row r="85">
      <x:c r="A85"/>
      <x:c r="E85"/>
      <x:c r="I85"/>
      <x:c r="J85"/>
      <x:c r="M85"/>
    </x:row>
    <x:row r="86">
      <x:c r="A86"/>
      <x:c r="E86"/>
      <x:c r="I86"/>
      <x:c r="J86"/>
      <x:c r="M86"/>
    </x:row>
    <x:row r="87">
      <x:c r="A87"/>
      <x:c r="E87"/>
      <x:c r="I87"/>
      <x:c r="J87"/>
      <x:c r="M87"/>
    </x:row>
    <x:row r="88">
      <x:c r="A88"/>
      <x:c r="E88"/>
      <x:c r="I88"/>
      <x:c r="J88"/>
      <x:c r="M88"/>
    </x:row>
    <x:row r="89">
      <x:c r="A89"/>
      <x:c r="E89"/>
      <x:c r="I89"/>
      <x:c r="J89"/>
      <x:c r="M89"/>
    </x:row>
    <x:row r="90">
      <x:c r="A90"/>
      <x:c r="E90"/>
      <x:c r="I90"/>
      <x:c r="J90"/>
      <x:c r="M90"/>
    </x:row>
    <x:row r="91">
      <x:c r="A91"/>
      <x:c r="E91"/>
      <x:c r="I91"/>
      <x:c r="J91"/>
      <x:c r="M91"/>
    </x:row>
    <x:row r="92">
      <x:c r="A92"/>
      <x:c r="E92"/>
      <x:c r="I92"/>
      <x:c r="J92"/>
      <x:c r="M92"/>
    </x:row>
    <x:row r="93">
      <x:c r="A93"/>
      <x:c r="E93"/>
      <x:c r="I93"/>
      <x:c r="J93"/>
      <x:c r="M93"/>
    </x:row>
    <x:row r="94">
      <x:c r="A94"/>
      <x:c r="E94"/>
      <x:c r="I94"/>
      <x:c r="J94"/>
      <x:c r="M94"/>
    </x:row>
    <x:row r="95">
      <x:c r="A95"/>
      <x:c r="E95"/>
      <x:c r="I95"/>
      <x:c r="J95"/>
      <x:c r="M95"/>
    </x:row>
    <x:row r="96">
      <x:c r="A96"/>
      <x:c r="E96"/>
      <x:c r="I96"/>
      <x:c r="J96"/>
      <x:c r="M96"/>
    </x:row>
    <x:row r="97">
      <x:c r="A97"/>
      <x:c r="E97"/>
      <x:c r="I97"/>
      <x:c r="J97"/>
      <x:c r="M97"/>
    </x:row>
    <x:row r="98">
      <x:c r="A98"/>
      <x:c r="E98"/>
      <x:c r="I98"/>
      <x:c r="J98"/>
      <x:c r="M98"/>
    </x:row>
    <x:row r="99">
      <x:c r="A99"/>
      <x:c r="E99"/>
      <x:c r="I99"/>
      <x:c r="J99"/>
      <x:c r="M99"/>
    </x:row>
    <x:row r="100">
      <x:c r="A100"/>
      <x:c r="E100"/>
      <x:c r="I100"/>
      <x:c r="J100"/>
      <x:c r="M100"/>
    </x:row>
    <x:row r="101">
      <x:c r="A101"/>
      <x:c r="E101"/>
      <x:c r="I101"/>
      <x:c r="J101"/>
      <x:c r="M101"/>
    </x:row>
    <x:row r="102">
      <x:c r="A102"/>
      <x:c r="E102"/>
      <x:c r="I102"/>
      <x:c r="J102"/>
      <x:c r="M102"/>
    </x:row>
    <x:row r="103">
      <x:c r="A103"/>
      <x:c r="E103"/>
      <x:c r="I103"/>
      <x:c r="J103"/>
      <x:c r="M103"/>
    </x:row>
    <x:row r="104">
      <x:c r="A104"/>
      <x:c r="E104"/>
      <x:c r="I104"/>
      <x:c r="J104"/>
      <x:c r="M104"/>
    </x:row>
    <x:row r="105">
      <x:c r="A105"/>
      <x:c r="E105"/>
      <x:c r="I105"/>
      <x:c r="J105"/>
      <x:c r="M105"/>
    </x:row>
    <x:row r="106">
      <x:c r="A106"/>
      <x:c r="E106"/>
      <x:c r="I106"/>
      <x:c r="J106"/>
      <x:c r="M106"/>
    </x:row>
    <x:row r="107">
      <x:c r="A107"/>
      <x:c r="E107"/>
      <x:c r="I107"/>
      <x:c r="J107"/>
      <x:c r="M107"/>
    </x:row>
    <x:row r="108">
      <x:c r="A108"/>
      <x:c r="E108"/>
      <x:c r="I108"/>
      <x:c r="J108"/>
      <x:c r="M108"/>
    </x:row>
    <x:row r="109">
      <x:c r="A109"/>
      <x:c r="E109"/>
      <x:c r="I109"/>
      <x:c r="J109"/>
      <x:c r="M109"/>
    </x:row>
    <x:row r="110">
      <x:c r="A110"/>
      <x:c r="E110"/>
      <x:c r="I110"/>
      <x:c r="J110"/>
      <x:c r="M110"/>
    </x:row>
    <x:row r="111">
      <x:c r="A111"/>
      <x:c r="E111"/>
      <x:c r="I111"/>
      <x:c r="J111"/>
      <x:c r="M111"/>
    </x:row>
    <x:row r="112">
      <x:c r="A112"/>
      <x:c r="E112"/>
      <x:c r="I112"/>
      <x:c r="J112"/>
      <x:c r="M112"/>
    </x:row>
    <x:row r="113">
      <x:c r="A113"/>
      <x:c r="E113"/>
      <x:c r="I113"/>
      <x:c r="J113"/>
      <x:c r="M113"/>
    </x:row>
    <x:row r="114">
      <x:c r="A114"/>
      <x:c r="E114"/>
      <x:c r="I114"/>
      <x:c r="J114"/>
      <x:c r="M114"/>
    </x:row>
    <x:row r="115">
      <x:c r="A115"/>
      <x:c r="E115"/>
      <x:c r="I115"/>
      <x:c r="J115"/>
      <x:c r="M115"/>
    </x:row>
    <x:row r="116">
      <x:c r="A116"/>
      <x:c r="E116"/>
      <x:c r="I116"/>
      <x:c r="J116"/>
      <x:c r="M116"/>
    </x:row>
    <x:row r="117">
      <x:c r="A117"/>
      <x:c r="E117"/>
      <x:c r="I117"/>
      <x:c r="J117"/>
      <x:c r="M117"/>
    </x:row>
    <x:row r="118">
      <x:c r="A118"/>
      <x:c r="E118"/>
      <x:c r="I118"/>
      <x:c r="J118"/>
      <x:c r="M118"/>
    </x:row>
    <x:row r="119">
      <x:c r="A119"/>
      <x:c r="E119"/>
      <x:c r="I119"/>
      <x:c r="J119"/>
      <x:c r="M119"/>
    </x:row>
    <x:row r="120">
      <x:c r="A120"/>
      <x:c r="E120"/>
      <x:c r="I120"/>
      <x:c r="J120"/>
      <x:c r="M120"/>
    </x:row>
    <x:row r="121">
      <x:c r="A121"/>
      <x:c r="E121"/>
      <x:c r="I121"/>
      <x:c r="J121"/>
      <x:c r="M121"/>
    </x:row>
    <x:row r="122">
      <x:c r="A122"/>
      <x:c r="E122"/>
      <x:c r="I122"/>
      <x:c r="J122"/>
      <x:c r="M122"/>
    </x:row>
    <x:row r="123">
      <x:c r="A123"/>
      <x:c r="E123"/>
      <x:c r="I123"/>
      <x:c r="J123"/>
      <x:c r="M123"/>
    </x:row>
    <x:row r="124">
      <x:c r="A124"/>
      <x:c r="E124"/>
      <x:c r="I124"/>
      <x:c r="J124"/>
      <x:c r="M124"/>
    </x:row>
    <x:row r="125">
      <x:c r="A125"/>
      <x:c r="E125"/>
      <x:c r="I125"/>
      <x:c r="J125"/>
      <x:c r="M125"/>
    </x:row>
    <x:row r="126">
      <x:c r="A126"/>
      <x:c r="E126"/>
      <x:c r="I126"/>
      <x:c r="J126"/>
      <x:c r="M126"/>
    </x:row>
    <x:row r="127">
      <x:c r="A127"/>
      <x:c r="E127"/>
      <x:c r="I127"/>
      <x:c r="J127"/>
      <x:c r="M127"/>
    </x:row>
    <x:row r="128">
      <x:c r="A128"/>
      <x:c r="E128"/>
      <x:c r="I128"/>
      <x:c r="J128"/>
      <x:c r="M128"/>
    </x:row>
    <x:row r="129">
      <x:c r="A129"/>
      <x:c r="E129"/>
      <x:c r="I129"/>
      <x:c r="J129"/>
      <x:c r="M129"/>
    </x:row>
    <x:row r="130">
      <x:c r="A130"/>
      <x:c r="E130"/>
      <x:c r="I130"/>
      <x:c r="J130"/>
      <x:c r="M130"/>
    </x:row>
    <x:row r="131">
      <x:c r="A131"/>
      <x:c r="E131"/>
      <x:c r="I131"/>
      <x:c r="J131"/>
      <x:c r="M131"/>
    </x:row>
    <x:row r="132">
      <x:c r="A132"/>
      <x:c r="E132"/>
      <x:c r="I132"/>
      <x:c r="J132"/>
      <x:c r="M132"/>
    </x:row>
    <x:row r="133">
      <x:c r="A133"/>
      <x:c r="E133"/>
      <x:c r="I133"/>
      <x:c r="J133"/>
      <x:c r="M133"/>
    </x:row>
    <x:row r="134">
      <x:c r="A134"/>
      <x:c r="E134"/>
      <x:c r="I134"/>
      <x:c r="J134"/>
      <x:c r="M134"/>
    </x:row>
    <x:row r="135">
      <x:c r="A135"/>
      <x:c r="E135"/>
      <x:c r="I135"/>
      <x:c r="J135"/>
      <x:c r="M135"/>
    </x:row>
    <x:row r="136">
      <x:c r="A136"/>
      <x:c r="E136"/>
      <x:c r="I136"/>
      <x:c r="J136"/>
      <x:c r="M136"/>
    </x:row>
    <x:row r="137">
      <x:c r="A137"/>
      <x:c r="E137"/>
      <x:c r="I137"/>
      <x:c r="J137"/>
      <x:c r="M137"/>
    </x:row>
    <x:row r="138">
      <x:c r="A138"/>
      <x:c r="E138"/>
      <x:c r="I138"/>
      <x:c r="J138"/>
      <x:c r="M138"/>
    </x:row>
    <x:row r="139">
      <x:c r="A139"/>
      <x:c r="E139"/>
      <x:c r="I139"/>
      <x:c r="J139"/>
      <x:c r="M139"/>
    </x:row>
    <x:row r="140">
      <x:c r="A140"/>
      <x:c r="E140"/>
      <x:c r="I140"/>
      <x:c r="J140"/>
      <x:c r="M140"/>
    </x:row>
    <x:row r="141">
      <x:c r="A141"/>
      <x:c r="E141"/>
      <x:c r="I141"/>
      <x:c r="J141"/>
      <x:c r="M141"/>
    </x:row>
    <x:row r="142">
      <x:c r="A142"/>
      <x:c r="E142"/>
      <x:c r="I142"/>
      <x:c r="J142"/>
      <x:c r="M142"/>
    </x:row>
    <x:row r="143">
      <x:c r="A143"/>
      <x:c r="E143"/>
      <x:c r="I143"/>
      <x:c r="J143"/>
      <x:c r="M143"/>
    </x:row>
    <x:row r="144">
      <x:c r="A144"/>
      <x:c r="E144"/>
      <x:c r="I144"/>
      <x:c r="J144"/>
      <x:c r="M144"/>
    </x:row>
    <x:row r="145">
      <x:c r="A145"/>
      <x:c r="E145"/>
      <x:c r="I145"/>
      <x:c r="J145"/>
      <x:c r="M145"/>
    </x:row>
    <x:row r="146">
      <x:c r="A146"/>
      <x:c r="E146"/>
      <x:c r="I146"/>
      <x:c r="J146"/>
      <x:c r="M146"/>
    </x:row>
    <x:row r="147">
      <x:c r="A147"/>
      <x:c r="E147"/>
      <x:c r="I147"/>
      <x:c r="J147"/>
      <x:c r="M147"/>
    </x:row>
    <x:row r="148">
      <x:c r="A148"/>
      <x:c r="E148"/>
      <x:c r="I148"/>
      <x:c r="J148"/>
      <x:c r="M148"/>
    </x:row>
    <x:row r="149">
      <x:c r="A149"/>
      <x:c r="E149"/>
      <x:c r="I149"/>
      <x:c r="J149"/>
      <x:c r="M149"/>
    </x:row>
    <x:row r="150">
      <x:c r="A150"/>
      <x:c r="E150"/>
      <x:c r="I150"/>
      <x:c r="J150"/>
      <x:c r="M150"/>
    </x:row>
    <x:row r="151">
      <x:c r="A151"/>
      <x:c r="E151"/>
      <x:c r="I151"/>
      <x:c r="J151"/>
      <x:c r="M151"/>
    </x:row>
    <x:row r="152">
      <x:c r="A152"/>
      <x:c r="E152"/>
      <x:c r="I152"/>
      <x:c r="J152"/>
      <x:c r="M152"/>
    </x:row>
    <x:row r="153">
      <x:c r="A153"/>
      <x:c r="E153"/>
      <x:c r="I153"/>
      <x:c r="J153"/>
      <x:c r="M153"/>
    </x:row>
    <x:row r="154">
      <x:c r="A154"/>
      <x:c r="E154"/>
      <x:c r="I154"/>
      <x:c r="J154"/>
      <x:c r="M154"/>
    </x:row>
    <x:row r="155">
      <x:c r="A155"/>
      <x:c r="E155"/>
      <x:c r="I155"/>
      <x:c r="J155"/>
      <x:c r="M155"/>
    </x:row>
    <x:row r="156">
      <x:c r="A156"/>
      <x:c r="E156"/>
      <x:c r="I156"/>
      <x:c r="J156"/>
      <x:c r="M156"/>
    </x:row>
    <x:row r="157">
      <x:c r="A157"/>
      <x:c r="E157"/>
      <x:c r="I157"/>
      <x:c r="J157"/>
      <x:c r="M157"/>
    </x:row>
    <x:row r="158">
      <x:c r="A158"/>
      <x:c r="E158"/>
      <x:c r="I158"/>
      <x:c r="J158"/>
      <x:c r="M158"/>
    </x:row>
    <x:row r="159">
      <x:c r="A159"/>
      <x:c r="E159"/>
      <x:c r="I159"/>
      <x:c r="J159"/>
      <x:c r="M159"/>
    </x:row>
    <x:row r="160">
      <x:c r="A160"/>
      <x:c r="E160"/>
      <x:c r="I160"/>
      <x:c r="J160"/>
      <x:c r="M160"/>
    </x:row>
    <x:row r="161">
      <x:c r="A161"/>
      <x:c r="E161"/>
      <x:c r="I161"/>
      <x:c r="J161"/>
      <x:c r="M161"/>
    </x:row>
    <x:row r="162">
      <x:c r="A162"/>
      <x:c r="E162"/>
      <x:c r="I162"/>
      <x:c r="J162"/>
      <x:c r="M162"/>
    </x:row>
    <x:row r="163">
      <x:c r="A163"/>
      <x:c r="E163"/>
      <x:c r="I163"/>
      <x:c r="J163"/>
      <x:c r="M163"/>
    </x:row>
    <x:row r="164">
      <x:c r="A164"/>
      <x:c r="E164"/>
      <x:c r="I164"/>
      <x:c r="J164"/>
      <x:c r="M164"/>
    </x:row>
    <x:row r="165">
      <x:c r="A165"/>
      <x:c r="E165"/>
      <x:c r="I165"/>
      <x:c r="J165"/>
      <x:c r="M165"/>
    </x:row>
    <x:row r="166">
      <x:c r="A166"/>
      <x:c r="E166"/>
      <x:c r="I166"/>
      <x:c r="J166"/>
      <x:c r="M166"/>
    </x:row>
    <x:row r="167">
      <x:c r="A167"/>
      <x:c r="E167"/>
      <x:c r="I167"/>
      <x:c r="J167"/>
      <x:c r="M167"/>
    </x:row>
    <x:row r="168">
      <x:c r="A168"/>
      <x:c r="E168"/>
      <x:c r="I168"/>
      <x:c r="J168"/>
      <x:c r="M168"/>
    </x:row>
    <x:row r="169">
      <x:c r="A169"/>
      <x:c r="E169"/>
      <x:c r="I169"/>
      <x:c r="J169"/>
      <x:c r="M169"/>
    </x:row>
    <x:row r="170">
      <x:c r="A170"/>
      <x:c r="E170"/>
      <x:c r="I170"/>
      <x:c r="J170"/>
      <x:c r="M170"/>
    </x:row>
    <x:row r="171">
      <x:c r="A171"/>
      <x:c r="E171"/>
      <x:c r="I171"/>
      <x:c r="J171"/>
      <x:c r="M171"/>
    </x:row>
    <x:row r="172">
      <x:c r="A172"/>
      <x:c r="E172"/>
      <x:c r="I172"/>
      <x:c r="J172"/>
      <x:c r="M172"/>
    </x:row>
    <x:row r="173">
      <x:c r="A173"/>
      <x:c r="E173"/>
      <x:c r="I173"/>
      <x:c r="J173"/>
      <x:c r="M173"/>
    </x:row>
    <x:row r="174">
      <x:c r="A174"/>
      <x:c r="E174"/>
      <x:c r="I174"/>
      <x:c r="J174"/>
      <x:c r="M174"/>
    </x:row>
    <x:row r="175">
      <x:c r="A175"/>
      <x:c r="E175"/>
      <x:c r="I175"/>
      <x:c r="J175"/>
      <x:c r="M175"/>
    </x:row>
    <x:row r="176">
      <x:c r="A176"/>
      <x:c r="E176"/>
      <x:c r="I176"/>
      <x:c r="J176"/>
      <x:c r="M176"/>
    </x:row>
    <x:row r="177">
      <x:c r="A177"/>
      <x:c r="E177"/>
      <x:c r="I177"/>
      <x:c r="J177"/>
      <x:c r="M177"/>
    </x:row>
    <x:row r="178">
      <x:c r="A178"/>
      <x:c r="E178"/>
      <x:c r="I178"/>
      <x:c r="J178"/>
      <x:c r="M178"/>
    </x:row>
    <x:row r="179">
      <x:c r="A179"/>
      <x:c r="E179"/>
      <x:c r="I179"/>
      <x:c r="J179"/>
      <x:c r="M179"/>
    </x:row>
    <x:row r="180">
      <x:c r="A180"/>
      <x:c r="E180"/>
      <x:c r="I180"/>
      <x:c r="J180"/>
      <x:c r="M180"/>
    </x:row>
    <x:row r="181">
      <x:c r="A181"/>
      <x:c r="E181"/>
      <x:c r="I181"/>
      <x:c r="J181"/>
      <x:c r="M181"/>
    </x:row>
    <x:row r="182">
      <x:c r="A182"/>
      <x:c r="E182"/>
      <x:c r="I182"/>
      <x:c r="J182"/>
      <x:c r="M182"/>
    </x:row>
    <x:row r="183">
      <x:c r="A183"/>
      <x:c r="E183"/>
      <x:c r="I183"/>
      <x:c r="J183"/>
      <x:c r="M183"/>
    </x:row>
    <x:row r="184">
      <x:c r="A184"/>
      <x:c r="E184"/>
      <x:c r="I184"/>
      <x:c r="J184"/>
      <x:c r="M184"/>
    </x:row>
    <x:row r="185">
      <x:c r="A185"/>
      <x:c r="E185"/>
      <x:c r="I185"/>
      <x:c r="J185"/>
      <x:c r="M185"/>
    </x:row>
    <x:row r="186">
      <x:c r="A186"/>
      <x:c r="E186"/>
      <x:c r="I186"/>
      <x:c r="J186"/>
      <x:c r="M186"/>
    </x:row>
    <x:row r="187">
      <x:c r="A187"/>
      <x:c r="E187"/>
      <x:c r="I187"/>
      <x:c r="J187"/>
      <x:c r="M187"/>
    </x:row>
    <x:row r="188">
      <x:c r="A188"/>
      <x:c r="E188"/>
      <x:c r="I188"/>
      <x:c r="J188"/>
      <x:c r="M188"/>
    </x:row>
    <x:row r="189">
      <x:c r="A189"/>
      <x:c r="E189"/>
      <x:c r="I189"/>
      <x:c r="J189"/>
      <x:c r="M189"/>
    </x:row>
    <x:row r="190">
      <x:c r="A190"/>
      <x:c r="E190"/>
      <x:c r="I190"/>
      <x:c r="J190"/>
      <x:c r="M190"/>
    </x:row>
    <x:row r="191">
      <x:c r="A191"/>
      <x:c r="E191"/>
      <x:c r="I191"/>
      <x:c r="J191"/>
      <x:c r="M191"/>
    </x:row>
    <x:row r="192">
      <x:c r="A192"/>
      <x:c r="E192"/>
      <x:c r="I192"/>
      <x:c r="J192"/>
      <x:c r="M192"/>
    </x:row>
    <x:row r="193">
      <x:c r="A193"/>
      <x:c r="E193"/>
      <x:c r="I193"/>
      <x:c r="J193"/>
      <x:c r="M193"/>
    </x:row>
    <x:row r="194">
      <x:c r="A194"/>
      <x:c r="E194"/>
      <x:c r="I194"/>
      <x:c r="J194"/>
      <x:c r="M194"/>
    </x:row>
    <x:row r="195">
      <x:c r="A195"/>
      <x:c r="E195"/>
      <x:c r="I195"/>
      <x:c r="J195"/>
      <x:c r="M195"/>
    </x:row>
    <x:row r="196">
      <x:c r="A196"/>
      <x:c r="E196"/>
      <x:c r="I196"/>
      <x:c r="J196"/>
      <x:c r="M196"/>
    </x:row>
    <x:row r="197">
      <x:c r="A197"/>
      <x:c r="E197"/>
      <x:c r="I197"/>
      <x:c r="J197"/>
      <x:c r="M197"/>
    </x:row>
    <x:row r="198">
      <x:c r="A198"/>
      <x:c r="E198"/>
      <x:c r="I198"/>
      <x:c r="J198"/>
      <x:c r="M198"/>
    </x:row>
    <x:row r="199">
      <x:c r="A199"/>
      <x:c r="E199"/>
      <x:c r="I199"/>
      <x:c r="J199"/>
      <x:c r="M199"/>
    </x:row>
    <x:row r="200">
      <x:c r="A200"/>
      <x:c r="E200"/>
      <x:c r="I200"/>
      <x:c r="J200"/>
      <x:c r="M200"/>
    </x:row>
  </x:sheetData>
  <x:mergeCells>
    <x:mergeCell ref="A1:M1"/>
    <x:mergeCell ref="A2:M3"/>
  </x:mergeCells>
  <x:hyperlinks>
    <x:hyperlink xmlns:r="http://schemas.openxmlformats.org/officeDocument/2006/relationships" ref="H6" r:id="R9c0197050414467d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2" width="12" customWidth="1"/>
    <x:col min="3" max="3" width="11" customWidth="1"/>
    <x:col min="4" max="4" width="35" customWidth="1"/>
    <x:col min="5" max="5" width="12" customWidth="1"/>
    <x:col min="6" max="6" width="16" customWidth="1"/>
    <x:col min="7" max="7" width="14" customWidth="1"/>
    <x:col min="8" max="9" width="12" customWidth="1"/>
    <x:col min="10" max="11" width="16" customWidth="1"/>
    <x:col min="12" max="12" width="13" customWidth="1"/>
    <x:col min="13" max="13" width="32" customWidth="1"/>
  </x:cols>
  <x:sheetData>
    <x:row r="1" ht="30" customHeight="1">
      <x:c r="A1" s="40" t="s">
        <x:v>0</x:v>
      </x:c>
      <x:c r="B1" s="40" t="s">
        <x:v>0</x:v>
      </x:c>
      <x:c r="C1" s="40" t="s">
        <x:v>0</x:v>
      </x:c>
      <x:c r="D1" s="40" t="s">
        <x:v>0</x:v>
      </x:c>
      <x:c r="E1" s="40" t="s">
        <x:v>0</x:v>
      </x:c>
      <x:c r="F1" s="40" t="s">
        <x:v>0</x:v>
      </x:c>
      <x:c r="G1" s="40" t="s">
        <x:v>0</x:v>
      </x:c>
      <x:c r="H1" s="40" t="s">
        <x:v>0</x:v>
      </x:c>
      <x:c r="I1" s="40" t="s">
        <x:v>0</x:v>
      </x:c>
      <x:c r="J1" s="40" t="s">
        <x:v>0</x:v>
      </x:c>
      <x:c r="K1" s="40" t="s">
        <x:v>0</x:v>
      </x:c>
      <x:c r="L1" s="40" t="s">
        <x:v>0</x:v>
      </x:c>
      <x:c r="M1" s="40" t="s">
        <x:v>0</x:v>
      </x:c>
    </x:row>
    <x:row r="2">
      <x:c r="A2" s="41" t="s">
        <x:v>1</x:v>
      </x:c>
      <x:c r="B2" s="42" t="s">
        <x:v>1</x:v>
      </x:c>
      <x:c r="C2" s="42" t="s">
        <x:v>1</x:v>
      </x:c>
      <x:c r="D2" s="42" t="s">
        <x:v>1</x:v>
      </x:c>
      <x:c r="E2" s="42" t="s">
        <x:v>1</x:v>
      </x:c>
      <x:c r="F2" s="42" t="s">
        <x:v>1</x:v>
      </x:c>
      <x:c r="G2" s="42" t="s">
        <x:v>1</x:v>
      </x:c>
      <x:c r="H2" s="42" t="s">
        <x:v>1</x:v>
      </x:c>
      <x:c r="I2" s="42" t="s">
        <x:v>1</x:v>
      </x:c>
      <x:c r="J2" s="42" t="s">
        <x:v>1</x:v>
      </x:c>
      <x:c r="K2" s="42" t="s">
        <x:v>1</x:v>
      </x:c>
      <x:c r="L2" s="42" t="s">
        <x:v>1</x:v>
      </x:c>
      <x:c r="M2" s="43" t="s">
        <x:v>1</x:v>
      </x:c>
    </x:row>
    <x:row r="3">
      <x:c r="A3" s="44" t="s">
        <x:v>1</x:v>
      </x:c>
      <x:c r="B3" s="45" t="s">
        <x:v>1</x:v>
      </x:c>
      <x:c r="C3" s="45" t="s">
        <x:v>1</x:v>
      </x:c>
      <x:c r="D3" s="45" t="s">
        <x:v>1</x:v>
      </x:c>
      <x:c r="E3" s="45" t="s">
        <x:v>1</x:v>
      </x:c>
      <x:c r="F3" s="45" t="s">
        <x:v>1</x:v>
      </x:c>
      <x:c r="G3" s="45" t="s">
        <x:v>1</x:v>
      </x:c>
      <x:c r="H3" s="45" t="s">
        <x:v>1</x:v>
      </x:c>
      <x:c r="I3" s="45" t="s">
        <x:v>1</x:v>
      </x:c>
      <x:c r="J3" s="45" t="s">
        <x:v>1</x:v>
      </x:c>
      <x:c r="K3" s="45" t="s">
        <x:v>1</x:v>
      </x:c>
      <x:c r="L3" s="45" t="s">
        <x:v>1</x:v>
      </x:c>
      <x:c r="M3" s="46" t="s">
        <x:v>1</x:v>
      </x:c>
    </x:row>
    <x:row r="5" ht="28.049999237060547" customHeight="1">
      <x:c r="A5" s="4" t="s">
        <x:v>2</x:v>
      </x:c>
      <x:c r="B5" s="5" t="s">
        <x:v>3</x:v>
      </x:c>
      <x:c r="C5" s="5" t="s">
        <x:v>4</x:v>
      </x:c>
      <x:c r="D5" s="5" t="s">
        <x:v>5</x:v>
      </x:c>
      <x:c r="E5" s="5" t="s">
        <x:v>6</x:v>
      </x:c>
      <x:c r="F5" s="5" t="s">
        <x:v>7</x:v>
      </x:c>
      <x:c r="G5" s="5" t="s">
        <x:v>8</x:v>
      </x:c>
      <x:c r="H5" s="5" t="s">
        <x:v>9</x:v>
      </x:c>
      <x:c r="I5" s="5" t="s">
        <x:v>10</x:v>
      </x:c>
      <x:c r="J5" s="5" t="s">
        <x:v>11</x:v>
      </x:c>
      <x:c r="K5" s="5" t="s">
        <x:v>12</x:v>
      </x:c>
      <x:c r="L5" s="5" t="s">
        <x:v>13</x:v>
      </x:c>
      <x:c r="M5" s="6" t="s">
        <x:v>14</x:v>
      </x:c>
    </x:row>
    <x:row r="6" ht="21" customHeight="1">
      <x:c r="A6" s="7"/>
      <x:c r="B6" s="7"/>
      <x:c r="C6" s="9"/>
      <x:c r="D6" s="10" t="str">
        <x:f>IF(C6="","",IFERROR(VLOOKUP(C6,'基金信息'!$A$6:$B$200,2,FALSE),"代码未找到"))</x:f>
      </x:c>
      <x:c r="E6" s="11"/>
      <x:c r="F6" s="12"/>
      <x:c r="G6" s="13"/>
      <x:c r="H6" s="13"/>
      <x:c r="I6" s="11"/>
      <x:c r="J6" s="11"/>
      <x:c r="K6" s="10" t="str">
        <x:f t="shared" ref="K6:K68" si="0">IF(A6="","",IF(OR(E6="买入",E6="定投",E6="转换转入"),-(F6+I6),IF(OR(E6="卖出",E6="转换转出"),IF(J6&lt;&gt;"",J6,F6-I6),IF(E6="现金分红",J6,0))))</x:f>
      </x:c>
      <x:c r="L6" s="11"/>
      <x:c r="M6" s="14"/>
    </x:row>
    <x:row r="7" ht="21" customHeight="1">
      <x:c r="A7" s="7"/>
      <x:c r="B7" s="7"/>
      <x:c r="C7" s="9"/>
      <x:c r="D7" s="10" t="str">
        <x:f>IF(C7="","",IFERROR(VLOOKUP(C7,'基金信息'!$A$6:$B$200,2,FALSE),"代码未找到"))</x:f>
      </x:c>
      <x:c r="E7" s="11"/>
      <x:c r="F7" s="12"/>
      <x:c r="G7" s="13"/>
      <x:c r="H7" s="13"/>
      <x:c r="I7" s="11"/>
      <x:c r="J7" s="11"/>
      <x:c r="K7" s="10" t="str">
        <x:f t="shared" si="0">IF(A7="","",IF(OR(E7="买入",E7="定投",E7="转换转入"),-(F7+I7),IF(OR(E7="卖出",E7="转换转出"),IF(J7&lt;&gt;"",J7,F7-I7),IF(E7="现金分红",J7,0))))</x:f>
      </x:c>
      <x:c r="L7" s="11"/>
      <x:c r="M7" s="14"/>
    </x:row>
    <x:row r="8" ht="21" customHeight="1">
      <x:c r="A8" s="7"/>
      <x:c r="B8" s="7"/>
      <x:c r="C8" s="9"/>
      <x:c r="D8" s="10" t="str">
        <x:f>IF(C8="","",IFERROR(VLOOKUP(C8,'基金信息'!$A$6:$B$200,2,FALSE),"代码未找到"))</x:f>
      </x:c>
      <x:c r="E8" s="11"/>
      <x:c r="F8" s="12"/>
      <x:c r="G8" s="13"/>
      <x:c r="H8" s="13"/>
      <x:c r="I8" s="11"/>
      <x:c r="J8" s="11"/>
      <x:c r="K8" s="10" t="str">
        <x:f t="shared" si="0">IF(A8="","",IF(OR(E8="买入",E8="定投",E8="转换转入"),-(F8+I8),IF(OR(E8="卖出",E8="转换转出"),IF(J8&lt;&gt;"",J8,F8-I8),IF(E8="现金分红",J8,0))))</x:f>
      </x:c>
      <x:c r="L8" s="11"/>
      <x:c r="M8" s="14"/>
    </x:row>
    <x:row r="9" ht="21" customHeight="1">
      <x:c r="A9" s="7"/>
      <x:c r="B9" s="8"/>
      <x:c r="C9" s="9"/>
      <x:c r="D9" s="10" t="str">
        <x:f>IF(C9="","",IFERROR(VLOOKUP(C9,'基金信息'!$A$6:$B$200,2,FALSE),"代码未找到"))</x:f>
      </x:c>
      <x:c r="E9" s="11"/>
      <x:c r="F9" s="12"/>
      <x:c r="G9" s="13"/>
      <x:c r="H9" s="13"/>
      <x:c r="I9" s="11"/>
      <x:c r="J9" s="11"/>
      <x:c r="K9" s="10" t="str">
        <x:f t="shared" si="0">IF(A9="","",IF(OR(E9="买入",E9="定投",E9="转换转入"),-(F9+I9),IF(OR(E9="卖出",E9="转换转出"),IF(J9&lt;&gt;"",J9,F9-I9),IF(E9="现金分红",J9,0))))</x:f>
      </x:c>
      <x:c r="L9" s="11"/>
      <x:c r="M9" s="14"/>
    </x:row>
    <x:row r="10" ht="21" customHeight="1">
      <x:c r="A10" s="8"/>
      <x:c r="B10" s="8"/>
      <x:c r="C10" s="9"/>
      <x:c r="D10" s="10" t="str">
        <x:f>IF(C10="","",IFERROR(VLOOKUP(C10,'基金信息'!$A$6:$B$200,2,FALSE),"代码未找到"))</x:f>
      </x:c>
      <x:c r="E10" s="11"/>
      <x:c r="F10" s="12"/>
      <x:c r="G10" s="13"/>
      <x:c r="H10" s="13"/>
      <x:c r="I10" s="11"/>
      <x:c r="J10" s="11"/>
      <x:c r="K10" s="10" t="str">
        <x:f t="shared" si="0">IF(A10="","",IF(OR(E10="买入",E10="定投",E10="转换转入"),-(F10+I10),IF(OR(E10="卖出",E10="转换转出"),IF(J10&lt;&gt;"",J10,F10-I10),IF(E10="现金分红",J10,0))))</x:f>
      </x:c>
      <x:c r="L10" s="11"/>
      <x:c r="M10" s="14"/>
    </x:row>
    <x:row r="11" ht="21" customHeight="1">
      <x:c r="A11" s="7"/>
      <x:c r="B11" s="8"/>
      <x:c r="C11" s="9"/>
      <x:c r="D11" s="10" t="str">
        <x:f>IF(C11="","",IFERROR(VLOOKUP(C11,'基金信息'!$A$6:$B$200,2,FALSE),"代码未找到"))</x:f>
      </x:c>
      <x:c r="E11" s="11"/>
      <x:c r="F11" s="12"/>
      <x:c r="G11" s="13"/>
      <x:c r="H11" s="13"/>
      <x:c r="I11" s="11"/>
      <x:c r="J11" s="11"/>
      <x:c r="K11" s="10" t="str">
        <x:f t="shared" si="0">IF(A11="","",IF(OR(E11="买入",E11="定投",E11="转换转入"),-(F11+I11),IF(OR(E11="卖出",E11="转换转出"),IF(J11&lt;&gt;"",J11,F11-I11),IF(E11="现金分红",J11,0))))</x:f>
      </x:c>
      <x:c r="L11" s="11"/>
      <x:c r="M11" s="14"/>
    </x:row>
    <x:row r="12" ht="21" customHeight="1">
      <x:c r="A12" s="7"/>
      <x:c r="B12" s="8"/>
      <x:c r="C12" s="9"/>
      <x:c r="D12" s="10" t="str">
        <x:f>IF(C12="","",IFERROR(VLOOKUP(C12,'基金信息'!$A$6:$B$200,2,FALSE),"代码未找到"))</x:f>
      </x:c>
      <x:c r="E12" s="11"/>
      <x:c r="F12" s="12"/>
      <x:c r="G12" s="13"/>
      <x:c r="H12" s="13"/>
      <x:c r="I12" s="11"/>
      <x:c r="J12" s="11"/>
      <x:c r="K12" s="10" t="str">
        <x:f t="shared" si="0">IF(A12="","",IF(OR(E12="买入",E12="定投",E12="转换转入"),-(F12+I12),IF(OR(E12="卖出",E12="转换转出"),IF(J12&lt;&gt;"",J12,F12-I12),IF(E12="现金分红",J12,0))))</x:f>
      </x:c>
      <x:c r="L12" s="11"/>
      <x:c r="M12" s="14"/>
    </x:row>
    <x:row r="13" ht="21" customHeight="1">
      <x:c r="A13" s="7"/>
      <x:c r="B13" s="8"/>
      <x:c r="C13" s="9"/>
      <x:c r="D13" s="10" t="str">
        <x:f>IF(C13="","",IFERROR(VLOOKUP(C13,'基金信息'!$A$6:$B$200,2,FALSE),"代码未找到"))</x:f>
      </x:c>
      <x:c r="E13" s="11"/>
      <x:c r="F13" s="12"/>
      <x:c r="G13" s="13"/>
      <x:c r="H13" s="13"/>
      <x:c r="I13" s="11"/>
      <x:c r="J13" s="11"/>
      <x:c r="K13" s="10" t="str">
        <x:f t="shared" si="0">IF(A13="","",IF(OR(E13="买入",E13="定投",E13="转换转入"),-(F13+I13),IF(OR(E13="卖出",E13="转换转出"),IF(J13&lt;&gt;"",J13,F13-I13),IF(E13="现金分红",J13,0))))</x:f>
      </x:c>
      <x:c r="L13" s="11"/>
      <x:c r="M13" s="14"/>
    </x:row>
    <x:row r="14" ht="21" customHeight="1">
      <x:c r="A14" s="7"/>
      <x:c r="B14" s="8"/>
      <x:c r="C14" s="9"/>
      <x:c r="D14" s="10" t="str">
        <x:f>IF(C14="","",IFERROR(VLOOKUP(C14,'基金信息'!$A$6:$B$200,2,FALSE),"代码未找到"))</x:f>
      </x:c>
      <x:c r="E14" s="11"/>
      <x:c r="F14" s="12"/>
      <x:c r="G14" s="13"/>
      <x:c r="H14" s="13"/>
      <x:c r="I14" s="11"/>
      <x:c r="J14" s="11"/>
      <x:c r="K14" s="10" t="str">
        <x:f t="shared" si="0">IF(A14="","",IF(OR(E14="买入",E14="定投",E14="转换转入"),-(F14+I14),IF(OR(E14="卖出",E14="转换转出"),IF(J14&lt;&gt;"",J14,F14-I14),IF(E14="现金分红",J14,0))))</x:f>
      </x:c>
      <x:c r="L14" s="11"/>
      <x:c r="M14" s="14"/>
    </x:row>
    <x:row r="15" ht="21" customHeight="1">
      <x:c r="A15" s="7"/>
      <x:c r="B15" s="8"/>
      <x:c r="C15" s="9"/>
      <x:c r="D15" s="10" t="str">
        <x:f>IF(C15="","",IFERROR(VLOOKUP(C15,'基金信息'!$A$6:$B$200,2,FALSE),"代码未找到"))</x:f>
      </x:c>
      <x:c r="E15" s="11"/>
      <x:c r="F15" s="12"/>
      <x:c r="G15" s="13"/>
      <x:c r="H15" s="13"/>
      <x:c r="I15" s="11"/>
      <x:c r="J15" s="11"/>
      <x:c r="K15" s="10" t="str">
        <x:f t="shared" si="0">IF(A15="","",IF(OR(E15="买入",E15="定投",E15="转换转入"),-(F15+I15),IF(OR(E15="卖出",E15="转换转出"),IF(J15&lt;&gt;"",J15,F15-I15),IF(E15="现金分红",J15,0))))</x:f>
      </x:c>
      <x:c r="L15" s="11"/>
      <x:c r="M15" s="14"/>
    </x:row>
    <x:row r="16" ht="21" customHeight="1">
      <x:c r="A16" s="7"/>
      <x:c r="B16" s="8"/>
      <x:c r="C16" s="9"/>
      <x:c r="D16" s="10" t="str">
        <x:f>IF(C16="","",IFERROR(VLOOKUP(C16,'基金信息'!$A$6:$B$200,2,FALSE),"代码未找到"))</x:f>
      </x:c>
      <x:c r="E16" s="11"/>
      <x:c r="F16" s="12"/>
      <x:c r="G16" s="13"/>
      <x:c r="H16" s="13"/>
      <x:c r="I16" s="11"/>
      <x:c r="J16" s="11"/>
      <x:c r="K16" s="10" t="str">
        <x:f t="shared" si="0">IF(A16="","",IF(OR(E16="买入",E16="定投",E16="转换转入"),-(F16+I16),IF(OR(E16="卖出",E16="转换转出"),IF(J16&lt;&gt;"",J16,F16-I16),IF(E16="现金分红",J16,0))))</x:f>
      </x:c>
      <x:c r="L16" s="11"/>
      <x:c r="M16" s="38"/>
    </x:row>
    <x:row r="17" ht="21" customHeight="1">
      <x:c r="A17" s="7"/>
      <x:c r="B17" s="8"/>
      <x:c r="C17" s="9"/>
      <x:c r="D17" s="10" t="str">
        <x:f>IF(C17="","",IFERROR(VLOOKUP(C17,'基金信息'!$A$6:$B$200,2,FALSE),"代码未找到"))</x:f>
      </x:c>
      <x:c r="E17" s="11"/>
      <x:c r="F17" s="12"/>
      <x:c r="G17" s="13"/>
      <x:c r="H17" s="13"/>
      <x:c r="I17" s="11"/>
      <x:c r="J17" s="11"/>
      <x:c r="K17" s="10" t="str">
        <x:f t="shared" si="0">IF(A17="","",IF(OR(E17="买入",E17="定投",E17="转换转入"),-(F17+I17),IF(OR(E17="卖出",E17="转换转出"),IF(J17&lt;&gt;"",J17,F17-I17),IF(E17="现金分红",J17,0))))</x:f>
      </x:c>
      <x:c r="L17" s="11"/>
      <x:c r="M17" s="14"/>
    </x:row>
    <x:row r="18" ht="21" customHeight="1">
      <x:c r="A18" s="7"/>
      <x:c r="B18" s="8"/>
      <x:c r="C18" s="9"/>
      <x:c r="D18" s="10" t="str">
        <x:f>IF(C18="","",IFERROR(VLOOKUP(C18,'基金信息'!$A$6:$B$200,2,FALSE),"代码未找到"))</x:f>
      </x:c>
      <x:c r="E18" s="11"/>
      <x:c r="F18" s="12"/>
      <x:c r="G18" s="13"/>
      <x:c r="H18" s="13"/>
      <x:c r="I18" s="11"/>
      <x:c r="J18" s="11"/>
      <x:c r="K18" s="10" t="str">
        <x:f t="shared" si="0">IF(A18="","",IF(OR(E18="买入",E18="定投",E18="转换转入"),-(F18+I18),IF(OR(E18="卖出",E18="转换转出"),IF(J18&lt;&gt;"",J18,F18-I18),IF(E18="现金分红",J18,0))))</x:f>
      </x:c>
      <x:c r="L18" s="11"/>
      <x:c r="M18" s="14"/>
    </x:row>
    <x:row r="19" ht="21" customHeight="1">
      <x:c r="A19" s="7"/>
      <x:c r="B19" s="8"/>
      <x:c r="C19" s="9"/>
      <x:c r="D19" s="10" t="str">
        <x:f>IF(C19="","",IFERROR(VLOOKUP(C19,'基金信息'!$A$6:$B$200,2,FALSE),"代码未找到"))</x:f>
      </x:c>
      <x:c r="E19" s="11"/>
      <x:c r="F19" s="12"/>
      <x:c r="G19" s="13"/>
      <x:c r="H19" s="13"/>
      <x:c r="I19" s="11"/>
      <x:c r="J19" s="11"/>
      <x:c r="K19" s="10" t="str">
        <x:f t="shared" si="0">IF(A19="","",IF(OR(E19="买入",E19="定投",E19="转换转入"),-(F19+I19),IF(OR(E19="卖出",E19="转换转出"),IF(J19&lt;&gt;"",J19,F19-I19),IF(E19="现金分红",J19,0))))</x:f>
      </x:c>
      <x:c r="L19" s="11"/>
      <x:c r="M19" s="14"/>
    </x:row>
    <x:row r="20" ht="21" customHeight="1">
      <x:c r="A20" s="7"/>
      <x:c r="B20" s="7"/>
      <x:c r="C20" s="9"/>
      <x:c r="D20" s="10" t="str">
        <x:f>IF(C20="","",IFERROR(VLOOKUP(C20,'基金信息'!$A$6:$B$200,2,FALSE),"代码未找到"))</x:f>
      </x:c>
      <x:c r="E20" s="11"/>
      <x:c r="F20" s="12"/>
      <x:c r="G20" s="13"/>
      <x:c r="H20" s="13"/>
      <x:c r="I20" s="11"/>
      <x:c r="J20" s="11"/>
      <x:c r="K20" s="10" t="str">
        <x:f t="shared" si="0">IF(A20="","",IF(OR(E20="买入",E20="定投",E20="转换转入"),-(F20+I20),IF(OR(E20="卖出",E20="转换转出"),IF(J20&lt;&gt;"",J20,F20-I20),IF(E20="现金分红",J20,0))))</x:f>
      </x:c>
      <x:c r="L20" s="11"/>
      <x:c r="M20" s="14"/>
    </x:row>
    <x:row r="21" ht="21" customHeight="1">
      <x:c r="A21" s="7"/>
      <x:c r="B21" s="8"/>
      <x:c r="C21" s="9"/>
      <x:c r="D21" s="10" t="str">
        <x:f>IF(C21="","",IFERROR(VLOOKUP(C21,'基金信息'!$A$6:$B$200,2,FALSE),"代码未找到"))</x:f>
      </x:c>
      <x:c r="E21" s="11"/>
      <x:c r="F21" s="12"/>
      <x:c r="G21" s="13"/>
      <x:c r="H21" s="13"/>
      <x:c r="I21" s="11"/>
      <x:c r="J21" s="11"/>
      <x:c r="K21" s="10" t="str">
        <x:f t="shared" si="0">IF(A21="","",IF(OR(E21="买入",E21="定投",E21="转换转入"),-(F21+I21),IF(OR(E21="卖出",E21="转换转出"),IF(J21&lt;&gt;"",J21,F21-I21),IF(E21="现金分红",J21,0))))</x:f>
      </x:c>
      <x:c r="L21" s="11"/>
      <x:c r="M21" s="14"/>
    </x:row>
    <x:row r="22" ht="21" customHeight="1">
      <x:c r="A22" s="7"/>
      <x:c r="B22" s="8"/>
      <x:c r="C22" s="9"/>
      <x:c r="D22" s="10" t="str">
        <x:f>IF(C22="","",IFERROR(VLOOKUP(C22,'基金信息'!$A$6:$B$200,2,FALSE),"代码未找到"))</x:f>
      </x:c>
      <x:c r="E22" s="11"/>
      <x:c r="F22" s="12"/>
      <x:c r="G22" s="13"/>
      <x:c r="H22" s="13"/>
      <x:c r="I22" s="11"/>
      <x:c r="J22" s="11"/>
      <x:c r="K22" s="10" t="str">
        <x:f t="shared" si="0">IF(A22="","",IF(OR(E22="买入",E22="定投",E22="转换转入"),-(F22+I22),IF(OR(E22="卖出",E22="转换转出"),IF(J22&lt;&gt;"",J22,F22-I22),IF(E22="现金分红",J22,0))))</x:f>
      </x:c>
      <x:c r="L22" s="11"/>
      <x:c r="M22" s="14"/>
    </x:row>
    <x:row r="23" ht="21" customHeight="1">
      <x:c r="A23" s="8"/>
      <x:c r="B23" s="8"/>
      <x:c r="C23" s="9"/>
      <x:c r="D23" s="10" t="str">
        <x:f>IF(C23="","",IFERROR(VLOOKUP(C23,'基金信息'!$A$6:$B$200,2,FALSE),"代码未找到"))</x:f>
      </x:c>
      <x:c r="E23" s="11"/>
      <x:c r="F23" s="12"/>
      <x:c r="G23" s="13"/>
      <x:c r="H23" s="13"/>
      <x:c r="I23" s="11"/>
      <x:c r="J23" s="11"/>
      <x:c r="K23" s="10" t="str">
        <x:f t="shared" si="0">IF(A23="","",IF(OR(E23="买入",E23="定投",E23="转换转入"),-(F23+I23),IF(OR(E23="卖出",E23="转换转出"),IF(J23&lt;&gt;"",J23,F23-I23),IF(E23="现金分红",J23,0))))</x:f>
      </x:c>
      <x:c r="L23" s="11"/>
      <x:c r="M23" s="14"/>
    </x:row>
    <x:row r="24" ht="21" customHeight="1">
      <x:c r="A24" s="7"/>
      <x:c r="B24" s="8"/>
      <x:c r="C24" s="9"/>
      <x:c r="D24" s="10" t="str">
        <x:f>IF(C24="","",IFERROR(VLOOKUP(C24,'基金信息'!$A$6:$B$200,2,FALSE),"代码未找到"))</x:f>
      </x:c>
      <x:c r="E24" s="11"/>
      <x:c r="F24" s="12"/>
      <x:c r="G24" s="13"/>
      <x:c r="H24" s="13"/>
      <x:c r="I24" s="11"/>
      <x:c r="J24" s="11"/>
      <x:c r="K24" s="10" t="str">
        <x:f t="shared" si="0">IF(A24="","",IF(OR(E24="买入",E24="定投",E24="转换转入"),-(F24+I24),IF(OR(E24="卖出",E24="转换转出"),IF(J24&lt;&gt;"",J24,F24-I24),IF(E24="现金分红",J24,0))))</x:f>
      </x:c>
      <x:c r="L24" s="11"/>
      <x:c r="M24" s="14"/>
    </x:row>
    <x:row r="25" ht="21" customHeight="1">
      <x:c r="A25" s="7"/>
      <x:c r="B25" s="8"/>
      <x:c r="C25" s="9"/>
      <x:c r="D25" s="10" t="str">
        <x:f>IF(C25="","",IFERROR(VLOOKUP(C25,'基金信息'!$A$6:$B$200,2,FALSE),"代码未找到"))</x:f>
      </x:c>
      <x:c r="E25" s="11"/>
      <x:c r="F25" s="12"/>
      <x:c r="G25" s="13"/>
      <x:c r="H25" s="13"/>
      <x:c r="I25" s="11"/>
      <x:c r="J25" s="11"/>
      <x:c r="K25" s="10" t="str">
        <x:f t="shared" si="0">IF(A25="","",IF(OR(E25="买入",E25="定投",E25="转换转入"),-(F25+I25),IF(OR(E25="卖出",E25="转换转出"),IF(J25&lt;&gt;"",J25,F25-I25),IF(E25="现金分红",J25,0))))</x:f>
      </x:c>
      <x:c r="L25" s="11"/>
      <x:c r="M25" s="14"/>
    </x:row>
    <x:row r="26" ht="21" customHeight="1">
      <x:c r="A26" s="7"/>
      <x:c r="B26" s="8"/>
      <x:c r="C26" s="9"/>
      <x:c r="D26" s="10" t="str">
        <x:f>IF(C26="","",IFERROR(VLOOKUP(C26,'基金信息'!$A$6:$B$200,2,FALSE),"代码未找到"))</x:f>
      </x:c>
      <x:c r="E26" s="11"/>
      <x:c r="F26" s="12"/>
      <x:c r="G26" s="13"/>
      <x:c r="H26" s="13"/>
      <x:c r="I26" s="11"/>
      <x:c r="J26" s="11"/>
      <x:c r="K26" s="10" t="str">
        <x:f t="shared" si="0">IF(A26="","",IF(OR(E26="买入",E26="定投",E26="转换转入"),-(F26+I26),IF(OR(E26="卖出",E26="转换转出"),IF(J26&lt;&gt;"",J26,F26-I26),IF(E26="现金分红",J26,0))))</x:f>
      </x:c>
      <x:c r="L26" s="11"/>
      <x:c r="M26" s="14"/>
    </x:row>
    <x:row r="27" ht="21" customHeight="1">
      <x:c r="A27" s="7"/>
      <x:c r="B27" s="8"/>
      <x:c r="C27" s="9"/>
      <x:c r="D27" s="10" t="str">
        <x:f>IF(C27="","",IFERROR(VLOOKUP(C27,'基金信息'!$A$6:$B$200,2,FALSE),"代码未找到"))</x:f>
      </x:c>
      <x:c r="E27" s="11"/>
      <x:c r="F27" s="12"/>
      <x:c r="G27" s="13"/>
      <x:c r="H27" s="13"/>
      <x:c r="I27" s="11"/>
      <x:c r="J27" s="11"/>
      <x:c r="K27" s="10" t="str">
        <x:f t="shared" si="0">IF(A27="","",IF(OR(E27="买入",E27="定投",E27="转换转入"),-(F27+I27),IF(OR(E27="卖出",E27="转换转出"),IF(J27&lt;&gt;"",J27,F27-I27),IF(E27="现金分红",J27,0))))</x:f>
      </x:c>
      <x:c r="L27" s="11"/>
      <x:c r="M27" s="14"/>
    </x:row>
    <x:row r="28" ht="21" customHeight="1">
      <x:c r="A28" s="7"/>
      <x:c r="B28" s="8"/>
      <x:c r="C28" s="9"/>
      <x:c r="D28" s="10" t="str">
        <x:f>IF(C28="","",IFERROR(VLOOKUP(C28,'基金信息'!$A$6:$B$200,2,FALSE),"代码未找到"))</x:f>
      </x:c>
      <x:c r="E28" s="11"/>
      <x:c r="F28" s="12"/>
      <x:c r="G28" s="13"/>
      <x:c r="H28" s="13"/>
      <x:c r="I28" s="11"/>
      <x:c r="J28" s="11"/>
      <x:c r="K28" s="10" t="str">
        <x:f t="shared" si="0">IF(A28="","",IF(OR(E28="买入",E28="定投",E28="转换转入"),-(F28+I28),IF(OR(E28="卖出",E28="转换转出"),IF(J28&lt;&gt;"",J28,F28-I28),IF(E28="现金分红",J28,0))))</x:f>
      </x:c>
      <x:c r="L28" s="11"/>
      <x:c r="M28" s="14"/>
    </x:row>
    <x:row r="29" ht="21" customHeight="1">
      <x:c r="A29" s="7"/>
      <x:c r="B29" s="8"/>
      <x:c r="C29" s="9"/>
      <x:c r="D29" s="10" t="str">
        <x:f>IF(C29="","",IFERROR(VLOOKUP(C29,'基金信息'!$A$6:$B$200,2,FALSE),"代码未找到"))</x:f>
      </x:c>
      <x:c r="E29" s="11"/>
      <x:c r="F29" s="12"/>
      <x:c r="G29" s="13"/>
      <x:c r="H29" s="13"/>
      <x:c r="I29" s="11"/>
      <x:c r="J29" s="11"/>
      <x:c r="K29" s="10" t="str">
        <x:f t="shared" si="0">IF(A29="","",IF(OR(E29="买入",E29="定投",E29="转换转入"),-(F29+I29),IF(OR(E29="卖出",E29="转换转出"),IF(J29&lt;&gt;"",J29,F29-I29),IF(E29="现金分红",J29,0))))</x:f>
      </x:c>
      <x:c r="L29" s="11"/>
      <x:c r="M29" s="38"/>
    </x:row>
    <x:row r="30" ht="21" customHeight="1">
      <x:c r="A30" s="7"/>
      <x:c r="B30" s="8"/>
      <x:c r="C30" s="9"/>
      <x:c r="D30" s="10" t="str">
        <x:f>IF(C30="","",IFERROR(VLOOKUP(C30,'基金信息'!$A$6:$B$200,2,FALSE),"代码未找到"))</x:f>
      </x:c>
      <x:c r="E30" s="11"/>
      <x:c r="F30" s="12"/>
      <x:c r="G30" s="13"/>
      <x:c r="H30" s="13"/>
      <x:c r="I30" s="11"/>
      <x:c r="J30" s="11"/>
      <x:c r="K30" s="10" t="str">
        <x:f t="shared" si="0">IF(A30="","",IF(OR(E30="买入",E30="定投",E30="转换转入"),-(F30+I30),IF(OR(E30="卖出",E30="转换转出"),IF(J30&lt;&gt;"",J30,F30-I30),IF(E30="现金分红",J30,0))))</x:f>
      </x:c>
      <x:c r="L30" s="11"/>
      <x:c r="M30" s="14"/>
    </x:row>
    <x:row r="31" ht="21" customHeight="1">
      <x:c r="A31" s="7"/>
      <x:c r="B31" s="8"/>
      <x:c r="C31" s="9"/>
      <x:c r="D31" s="10" t="str">
        <x:f>IF(C31="","",IFERROR(VLOOKUP(C31,'基金信息'!$A$6:$B$200,2,FALSE),"代码未找到"))</x:f>
      </x:c>
      <x:c r="E31" s="11"/>
      <x:c r="F31" s="12"/>
      <x:c r="G31" s="13"/>
      <x:c r="H31" s="13"/>
      <x:c r="I31" s="11"/>
      <x:c r="J31" s="11"/>
      <x:c r="K31" s="10" t="str">
        <x:f t="shared" si="0">IF(A31="","",IF(OR(E31="买入",E31="定投",E31="转换转入"),-(F31+I31),IF(OR(E31="卖出",E31="转换转出"),IF(J31&lt;&gt;"",J31,F31-I31),IF(E31="现金分红",J31,0))))</x:f>
      </x:c>
      <x:c r="L31" s="11"/>
      <x:c r="M31" s="14"/>
    </x:row>
    <x:row r="32" ht="21" customHeight="1">
      <x:c r="A32" s="8"/>
      <x:c r="B32" s="8"/>
      <x:c r="C32" s="9"/>
      <x:c r="D32" s="10" t="str">
        <x:f>IF(C32="","",IFERROR(VLOOKUP(C32,'基金信息'!$A$6:$B$200,2,FALSE),"代码未找到"))</x:f>
      </x:c>
      <x:c r="E32" s="11"/>
      <x:c r="F32" s="12"/>
      <x:c r="G32" s="13"/>
      <x:c r="H32" s="13"/>
      <x:c r="I32" s="11"/>
      <x:c r="J32" s="11"/>
      <x:c r="K32" s="10" t="str">
        <x:f t="shared" si="0">IF(A32="","",IF(OR(E32="买入",E32="定投",E32="转换转入"),-(F32+I32),IF(OR(E32="卖出",E32="转换转出"),IF(J32&lt;&gt;"",J32,F32-I32),IF(E32="现金分红",J32,0))))</x:f>
      </x:c>
      <x:c r="L32" s="11"/>
      <x:c r="M32" s="14"/>
    </x:row>
    <x:row r="33" ht="21" customHeight="1">
      <x:c r="A33" s="7"/>
      <x:c r="B33" s="8"/>
      <x:c r="C33" s="9"/>
      <x:c r="D33" s="10" t="str">
        <x:f>IF(C33="","",IFERROR(VLOOKUP(C33,'基金信息'!$A$6:$B$200,2,FALSE),"代码未找到"))</x:f>
      </x:c>
      <x:c r="E33" s="11"/>
      <x:c r="F33" s="12"/>
      <x:c r="G33" s="13"/>
      <x:c r="H33" s="13"/>
      <x:c r="I33" s="11"/>
      <x:c r="J33" s="11"/>
      <x:c r="K33" s="10" t="str">
        <x:f t="shared" si="0">IF(A33="","",IF(OR(E33="买入",E33="定投",E33="转换转入"),-(F33+I33),IF(OR(E33="卖出",E33="转换转出"),IF(J33&lt;&gt;"",J33,F33-I33),IF(E33="现金分红",J33,0))))</x:f>
      </x:c>
      <x:c r="L33" s="11"/>
      <x:c r="M33" s="14"/>
    </x:row>
    <x:row r="34" ht="21" customHeight="1">
      <x:c r="A34" s="7"/>
      <x:c r="B34" s="8"/>
      <x:c r="C34" s="9"/>
      <x:c r="D34" s="10" t="str">
        <x:f>IF(C34="","",IFERROR(VLOOKUP(C34,'基金信息'!$A$6:$B$200,2,FALSE),"代码未找到"))</x:f>
      </x:c>
      <x:c r="E34" s="11"/>
      <x:c r="F34" s="12"/>
      <x:c r="G34" s="13"/>
      <x:c r="H34" s="13"/>
      <x:c r="I34" s="11"/>
      <x:c r="J34" s="11"/>
      <x:c r="K34" s="10" t="str">
        <x:f t="shared" si="0">IF(A34="","",IF(OR(E34="买入",E34="定投",E34="转换转入"),-(F34+I34),IF(OR(E34="卖出",E34="转换转出"),IF(J34&lt;&gt;"",J34,F34-I34),IF(E34="现金分红",J34,0))))</x:f>
      </x:c>
      <x:c r="L34" s="11"/>
      <x:c r="M34" s="14"/>
    </x:row>
    <x:row r="35" ht="21" customHeight="1">
      <x:c r="A35" s="7"/>
      <x:c r="B35" s="8"/>
      <x:c r="C35" s="9"/>
      <x:c r="D35" s="10" t="str">
        <x:f>IF(C35="","",IFERROR(VLOOKUP(C35,'基金信息'!$A$6:$B$200,2,FALSE),"代码未找到"))</x:f>
      </x:c>
      <x:c r="E35" s="11"/>
      <x:c r="F35" s="12"/>
      <x:c r="G35" s="13"/>
      <x:c r="H35" s="13"/>
      <x:c r="I35" s="11"/>
      <x:c r="J35" s="11"/>
      <x:c r="K35" s="10" t="str">
        <x:f t="shared" si="0">IF(A35="","",IF(OR(E35="买入",E35="定投",E35="转换转入"),-(F35+I35),IF(OR(E35="卖出",E35="转换转出"),IF(J35&lt;&gt;"",J35,F35-I35),IF(E35="现金分红",J35,0))))</x:f>
      </x:c>
      <x:c r="L35" s="11"/>
      <x:c r="M35" s="14"/>
    </x:row>
    <x:row r="36" ht="21" customHeight="1">
      <x:c r="A36" s="7"/>
      <x:c r="B36" s="8"/>
      <x:c r="C36" s="9"/>
      <x:c r="D36" s="10" t="str">
        <x:f>IF(C36="","",IFERROR(VLOOKUP(C36,'基金信息'!$A$6:$B$200,2,FALSE),"代码未找到"))</x:f>
      </x:c>
      <x:c r="E36" s="11"/>
      <x:c r="F36" s="12"/>
      <x:c r="G36" s="13"/>
      <x:c r="H36" s="13"/>
      <x:c r="I36" s="11"/>
      <x:c r="J36" s="11"/>
      <x:c r="K36" s="10" t="str">
        <x:f t="shared" si="0">IF(A36="","",IF(OR(E36="买入",E36="定投",E36="转换转入"),-(F36+I36),IF(OR(E36="卖出",E36="转换转出"),IF(J36&lt;&gt;"",J36,F36-I36),IF(E36="现金分红",J36,0))))</x:f>
      </x:c>
      <x:c r="L36" s="11"/>
      <x:c r="M36" s="14"/>
    </x:row>
    <x:row r="37" ht="21" customHeight="1">
      <x:c r="A37" s="7"/>
      <x:c r="B37" s="8"/>
      <x:c r="C37" s="9"/>
      <x:c r="D37" s="10" t="str">
        <x:f>IF(C37="","",IFERROR(VLOOKUP(C37,'基金信息'!$A$6:$B$200,2,FALSE),"代码未找到"))</x:f>
      </x:c>
      <x:c r="E37" s="11"/>
      <x:c r="F37" s="12"/>
      <x:c r="G37" s="13"/>
      <x:c r="H37" s="13"/>
      <x:c r="I37" s="11"/>
      <x:c r="J37" s="11"/>
      <x:c r="K37" s="10" t="str">
        <x:f t="shared" si="0">IF(A37="","",IF(OR(E37="买入",E37="定投",E37="转换转入"),-(F37+I37),IF(OR(E37="卖出",E37="转换转出"),IF(J37&lt;&gt;"",J37,F37-I37),IF(E37="现金分红",J37,0))))</x:f>
      </x:c>
      <x:c r="L37" s="11"/>
      <x:c r="M37" s="14"/>
    </x:row>
    <x:row r="38" ht="21" customHeight="1">
      <x:c r="A38" s="7"/>
      <x:c r="B38" s="8"/>
      <x:c r="C38" s="9"/>
      <x:c r="D38" s="10" t="str">
        <x:f>IF(C38="","",IFERROR(VLOOKUP(C38,'基金信息'!$A$6:$B$200,2,FALSE),"代码未找到"))</x:f>
      </x:c>
      <x:c r="E38" s="11"/>
      <x:c r="F38" s="12"/>
      <x:c r="G38" s="13"/>
      <x:c r="H38" s="13"/>
      <x:c r="I38" s="11"/>
      <x:c r="J38" s="11"/>
      <x:c r="K38" s="10" t="str">
        <x:f t="shared" si="0">IF(A38="","",IF(OR(E38="买入",E38="定投",E38="转换转入"),-(F38+I38),IF(OR(E38="卖出",E38="转换转出"),IF(J38&lt;&gt;"",J38,F38-I38),IF(E38="现金分红",J38,0))))</x:f>
      </x:c>
      <x:c r="L38" s="11"/>
      <x:c r="M38" s="14"/>
    </x:row>
    <x:row r="39" ht="21" customHeight="1">
      <x:c r="A39" s="7"/>
      <x:c r="B39" s="8"/>
      <x:c r="C39" s="9"/>
      <x:c r="D39" s="10" t="str">
        <x:f>IF(C39="","",IFERROR(VLOOKUP(C39,'基金信息'!$A$6:$B$200,2,FALSE),"代码未找到"))</x:f>
      </x:c>
      <x:c r="E39" s="11"/>
      <x:c r="F39" s="12"/>
      <x:c r="G39" s="13"/>
      <x:c r="H39" s="13"/>
      <x:c r="I39" s="11"/>
      <x:c r="J39" s="11"/>
      <x:c r="K39" s="10" t="str">
        <x:f t="shared" si="0">IF(A39="","",IF(OR(E39="买入",E39="定投",E39="转换转入"),-(F39+I39),IF(OR(E39="卖出",E39="转换转出"),IF(J39&lt;&gt;"",J39,F39-I39),IF(E39="现金分红",J39,0))))</x:f>
      </x:c>
      <x:c r="L39" s="11"/>
      <x:c r="M39" s="14"/>
    </x:row>
    <x:row r="40" ht="21" customHeight="1">
      <x:c r="A40" s="7"/>
      <x:c r="B40" s="8"/>
      <x:c r="C40" s="9"/>
      <x:c r="D40" s="10" t="str">
        <x:f>IF(C40="","",IFERROR(VLOOKUP(C40,'基金信息'!$A$6:$B$200,2,FALSE),"代码未找到"))</x:f>
      </x:c>
      <x:c r="E40" s="11"/>
      <x:c r="F40" s="12"/>
      <x:c r="G40" s="13"/>
      <x:c r="H40" s="13"/>
      <x:c r="I40" s="11"/>
      <x:c r="J40" s="11"/>
      <x:c r="K40" s="10" t="str">
        <x:f t="shared" si="0">IF(A40="","",IF(OR(E40="买入",E40="定投",E40="转换转入"),-(F40+I40),IF(OR(E40="卖出",E40="转换转出"),IF(J40&lt;&gt;"",J40,F40-I40),IF(E40="现金分红",J40,0))))</x:f>
      </x:c>
      <x:c r="L40" s="11"/>
      <x:c r="M40" s="14"/>
    </x:row>
    <x:row r="41" ht="21" customHeight="1">
      <x:c r="A41" s="7"/>
      <x:c r="B41" s="8"/>
      <x:c r="C41" s="9"/>
      <x:c r="D41" s="10" t="str">
        <x:f>IF(C41="","",IFERROR(VLOOKUP(C41,'基金信息'!$A$6:$B$200,2,FALSE),"代码未找到"))</x:f>
      </x:c>
      <x:c r="E41" s="11"/>
      <x:c r="F41" s="12"/>
      <x:c r="G41" s="13"/>
      <x:c r="H41" s="13"/>
      <x:c r="I41" s="11"/>
      <x:c r="J41" s="11"/>
      <x:c r="K41" s="10" t="str">
        <x:f t="shared" si="0">IF(A41="","",IF(OR(E41="买入",E41="定投",E41="转换转入"),-(F41+I41),IF(OR(E41="卖出",E41="转换转出"),IF(J41&lt;&gt;"",J41,F41-I41),IF(E41="现金分红",J41,0))))</x:f>
      </x:c>
      <x:c r="L41" s="11"/>
      <x:c r="M41" s="14"/>
    </x:row>
    <x:row r="42" ht="21" customHeight="1">
      <x:c r="A42" s="7"/>
      <x:c r="B42" s="8"/>
      <x:c r="C42" s="9"/>
      <x:c r="D42" s="10" t="str">
        <x:f>IF(C42="","",IFERROR(VLOOKUP(C42,'基金信息'!$A$6:$B$200,2,FALSE),"代码未找到"))</x:f>
      </x:c>
      <x:c r="E42" s="11"/>
      <x:c r="F42" s="12"/>
      <x:c r="G42" s="13"/>
      <x:c r="H42" s="13"/>
      <x:c r="I42" s="11"/>
      <x:c r="J42" s="11"/>
      <x:c r="K42" s="10" t="str">
        <x:f t="shared" si="0">IF(A42="","",IF(OR(E42="买入",E42="定投",E42="转换转入"),-(F42+I42),IF(OR(E42="卖出",E42="转换转出"),IF(J42&lt;&gt;"",J42,F42-I42),IF(E42="现金分红",J42,0))))</x:f>
      </x:c>
      <x:c r="L42" s="11"/>
      <x:c r="M42" s="14"/>
    </x:row>
    <x:row r="43" ht="21" customHeight="1">
      <x:c r="A43" s="7"/>
      <x:c r="B43" s="8"/>
      <x:c r="C43" s="9"/>
      <x:c r="D43" s="10" t="str">
        <x:f>IF(C43="","",IFERROR(VLOOKUP(C43,'基金信息'!$A$6:$B$200,2,FALSE),"代码未找到"))</x:f>
      </x:c>
      <x:c r="E43" s="11"/>
      <x:c r="F43" s="12"/>
      <x:c r="G43" s="13"/>
      <x:c r="H43" s="13"/>
      <x:c r="I43" s="11"/>
      <x:c r="J43" s="11"/>
      <x:c r="K43" s="10" t="str">
        <x:f t="shared" si="0">IF(A43="","",IF(OR(E43="买入",E43="定投",E43="转换转入"),-(F43+I43),IF(OR(E43="卖出",E43="转换转出"),IF(J43&lt;&gt;"",J43,F43-I43),IF(E43="现金分红",J43,0))))</x:f>
      </x:c>
      <x:c r="L43" s="11"/>
      <x:c r="M43" s="14"/>
    </x:row>
    <x:row r="44" ht="21" customHeight="1">
      <x:c r="A44" s="7"/>
      <x:c r="B44" s="8"/>
      <x:c r="C44" s="9"/>
      <x:c r="D44" s="10" t="str">
        <x:f>IF(C44="","",IFERROR(VLOOKUP(C44,'基金信息'!$A$6:$B$200,2,FALSE),"代码未找到"))</x:f>
      </x:c>
      <x:c r="E44" s="11"/>
      <x:c r="F44" s="12"/>
      <x:c r="G44" s="13"/>
      <x:c r="H44" s="13"/>
      <x:c r="I44" s="11"/>
      <x:c r="J44" s="11"/>
      <x:c r="K44" s="10" t="str">
        <x:f t="shared" si="0">IF(A44="","",IF(OR(E44="买入",E44="定投",E44="转换转入"),-(F44+I44),IF(OR(E44="卖出",E44="转换转出"),IF(J44&lt;&gt;"",J44,F44-I44),IF(E44="现金分红",J44,0))))</x:f>
      </x:c>
      <x:c r="L44" s="11"/>
      <x:c r="M44" s="14"/>
    </x:row>
    <x:row r="45" ht="21" customHeight="1">
      <x:c r="A45" s="7"/>
      <x:c r="B45" s="8"/>
      <x:c r="C45" s="9"/>
      <x:c r="D45" s="10" t="str">
        <x:f>IF(C45="","",IFERROR(VLOOKUP(C45,'基金信息'!$A$6:$B$200,2,FALSE),"代码未找到"))</x:f>
      </x:c>
      <x:c r="E45" s="11"/>
      <x:c r="F45" s="12"/>
      <x:c r="G45" s="13"/>
      <x:c r="H45" s="13"/>
      <x:c r="I45" s="11"/>
      <x:c r="J45" s="11"/>
      <x:c r="K45" s="10" t="str">
        <x:f t="shared" si="0">IF(A45="","",IF(OR(E45="买入",E45="定投",E45="转换转入"),-(F45+I45),IF(OR(E45="卖出",E45="转换转出"),IF(J45&lt;&gt;"",J45,F45-I45),IF(E45="现金分红",J45,0))))</x:f>
      </x:c>
      <x:c r="L45" s="11"/>
      <x:c r="M45" s="14"/>
    </x:row>
    <x:row r="46" ht="21" customHeight="1">
      <x:c r="A46" s="7"/>
      <x:c r="B46" s="8"/>
      <x:c r="C46" s="9"/>
      <x:c r="D46" s="10" t="str">
        <x:f>IF(C46="","",IFERROR(VLOOKUP(C46,'基金信息'!$A$6:$B$200,2,FALSE),"代码未找到"))</x:f>
      </x:c>
      <x:c r="E46" s="11"/>
      <x:c r="F46" s="12"/>
      <x:c r="G46" s="13"/>
      <x:c r="H46" s="13"/>
      <x:c r="I46" s="11"/>
      <x:c r="J46" s="11"/>
      <x:c r="K46" s="10" t="str">
        <x:f t="shared" si="0">IF(A46="","",IF(OR(E46="买入",E46="定投",E46="转换转入"),-(F46+I46),IF(OR(E46="卖出",E46="转换转出"),IF(J46&lt;&gt;"",J46,F46-I46),IF(E46="现金分红",J46,0))))</x:f>
      </x:c>
      <x:c r="L46" s="11"/>
      <x:c r="M46" s="14"/>
    </x:row>
    <x:row r="47" ht="21" customHeight="1">
      <x:c r="A47" s="7"/>
      <x:c r="B47" s="8"/>
      <x:c r="C47" s="9"/>
      <x:c r="D47" s="10" t="str">
        <x:f>IF(C47="","",IFERROR(VLOOKUP(C47,'基金信息'!$A$6:$B$200,2,FALSE),"代码未找到"))</x:f>
      </x:c>
      <x:c r="E47" s="11"/>
      <x:c r="F47" s="12"/>
      <x:c r="G47" s="13"/>
      <x:c r="H47" s="13"/>
      <x:c r="I47" s="11"/>
      <x:c r="J47" s="11"/>
      <x:c r="K47" s="10" t="str">
        <x:f t="shared" si="0">IF(A47="","",IF(OR(E47="买入",E47="定投",E47="转换转入"),-(F47+I47),IF(OR(E47="卖出",E47="转换转出"),IF(J47&lt;&gt;"",J47,F47-I47),IF(E47="现金分红",J47,0))))</x:f>
      </x:c>
      <x:c r="L47" s="11"/>
      <x:c r="M47" s="14"/>
    </x:row>
    <x:row r="48" ht="21" customHeight="1">
      <x:c r="A48" s="7"/>
      <x:c r="B48" s="8"/>
      <x:c r="C48" s="9"/>
      <x:c r="D48" s="10" t="str">
        <x:f>IF(C48="","",IFERROR(VLOOKUP(C48,'基金信息'!$A$6:$B$200,2,FALSE),"代码未找到"))</x:f>
      </x:c>
      <x:c r="E48" s="11"/>
      <x:c r="F48" s="12"/>
      <x:c r="G48" s="13"/>
      <x:c r="H48" s="13"/>
      <x:c r="I48" s="11"/>
      <x:c r="J48" s="11"/>
      <x:c r="K48" s="10" t="str">
        <x:f t="shared" si="0">IF(A48="","",IF(OR(E48="买入",E48="定投",E48="转换转入"),-(F48+I48),IF(OR(E48="卖出",E48="转换转出"),IF(J48&lt;&gt;"",J48,F48-I48),IF(E48="现金分红",J48,0))))</x:f>
      </x:c>
      <x:c r="L48" s="11"/>
      <x:c r="M48" s="14"/>
    </x:row>
    <x:row r="49" ht="21" customHeight="1">
      <x:c r="A49" s="7"/>
      <x:c r="B49" s="8"/>
      <x:c r="C49" s="9"/>
      <x:c r="D49" s="10" t="str">
        <x:f>IF(C49="","",IFERROR(VLOOKUP(C49,'基金信息'!$A$6:$B$200,2,FALSE),"代码未找到"))</x:f>
      </x:c>
      <x:c r="E49" s="11"/>
      <x:c r="F49" s="12"/>
      <x:c r="G49" s="13"/>
      <x:c r="H49" s="13"/>
      <x:c r="I49" s="11"/>
      <x:c r="J49" s="11"/>
      <x:c r="K49" s="10" t="str">
        <x:f t="shared" si="0">IF(A49="","",IF(OR(E49="买入",E49="定投",E49="转换转入"),-(F49+I49),IF(OR(E49="卖出",E49="转换转出"),IF(J49&lt;&gt;"",J49,F49-I49),IF(E49="现金分红",J49,0))))</x:f>
      </x:c>
      <x:c r="L49" s="11"/>
      <x:c r="M49" s="14"/>
    </x:row>
    <x:row r="50" ht="21" customHeight="1">
      <x:c r="A50" s="7"/>
      <x:c r="B50" s="8"/>
      <x:c r="C50" s="9"/>
      <x:c r="D50" s="10" t="str">
        <x:f>IF(C50="","",IFERROR(VLOOKUP(C50,'基金信息'!$A$6:$B$200,2,FALSE),"代码未找到"))</x:f>
      </x:c>
      <x:c r="E50" s="11"/>
      <x:c r="F50" s="12"/>
      <x:c r="G50" s="13"/>
      <x:c r="H50" s="13"/>
      <x:c r="I50" s="11"/>
      <x:c r="J50" s="11"/>
      <x:c r="K50" s="10" t="str">
        <x:f t="shared" si="0">IF(A50="","",IF(OR(E50="买入",E50="定投",E50="转换转入"),-(F50+I50),IF(OR(E50="卖出",E50="转换转出"),IF(J50&lt;&gt;"",J50,F50-I50),IF(E50="现金分红",J50,0))))</x:f>
      </x:c>
      <x:c r="L50" s="11"/>
      <x:c r="M50" s="14"/>
    </x:row>
    <x:row r="51" ht="21" customHeight="1">
      <x:c r="A51" s="7"/>
      <x:c r="B51" s="8"/>
      <x:c r="C51" s="9"/>
      <x:c r="D51" s="10" t="str">
        <x:f>IF(C51="","",IFERROR(VLOOKUP(C51,'基金信息'!$A$6:$B$200,2,FALSE),"代码未找到"))</x:f>
      </x:c>
      <x:c r="E51" s="11"/>
      <x:c r="F51" s="12"/>
      <x:c r="G51" s="13"/>
      <x:c r="H51" s="13"/>
      <x:c r="I51" s="11"/>
      <x:c r="J51" s="11"/>
      <x:c r="K51" s="10" t="str">
        <x:f t="shared" si="0">IF(A51="","",IF(OR(E51="买入",E51="定投",E51="转换转入"),-(F51+I51),IF(OR(E51="卖出",E51="转换转出"),IF(J51&lt;&gt;"",J51,F51-I51),IF(E51="现金分红",J51,0))))</x:f>
      </x:c>
      <x:c r="L51" s="11"/>
      <x:c r="M51" s="14"/>
    </x:row>
    <x:row r="52" ht="21" customHeight="1">
      <x:c r="A52" s="7"/>
      <x:c r="B52" s="8"/>
      <x:c r="C52" s="9"/>
      <x:c r="D52" s="10" t="str">
        <x:f>IF(C52="","",IFERROR(VLOOKUP(C52,'基金信息'!$A$6:$B$200,2,FALSE),"代码未找到"))</x:f>
      </x:c>
      <x:c r="E52" s="11"/>
      <x:c r="F52" s="12"/>
      <x:c r="G52" s="13"/>
      <x:c r="H52" s="13"/>
      <x:c r="I52" s="11"/>
      <x:c r="J52" s="11"/>
      <x:c r="K52" s="10" t="str">
        <x:f t="shared" si="0">IF(A52="","",IF(OR(E52="买入",E52="定投",E52="转换转入"),-(F52+I52),IF(OR(E52="卖出",E52="转换转出"),IF(J52&lt;&gt;"",J52,F52-I52),IF(E52="现金分红",J52,0))))</x:f>
      </x:c>
      <x:c r="L52" s="11"/>
      <x:c r="M52" s="14"/>
    </x:row>
    <x:row r="53" ht="21" customHeight="1">
      <x:c r="A53" s="7"/>
      <x:c r="B53" s="8"/>
      <x:c r="C53" s="9"/>
      <x:c r="D53" s="10" t="str">
        <x:f>IF(C53="","",IFERROR(VLOOKUP(C53,'基金信息'!$A$6:$B$200,2,FALSE),"代码未找到"))</x:f>
      </x:c>
      <x:c r="E53" s="11"/>
      <x:c r="F53" s="12"/>
      <x:c r="G53" s="13"/>
      <x:c r="H53" s="13"/>
      <x:c r="I53" s="11"/>
      <x:c r="J53" s="11"/>
      <x:c r="K53" s="10" t="str">
        <x:f t="shared" si="0">IF(A53="","",IF(OR(E53="买入",E53="定投",E53="转换转入"),-(F53+I53),IF(OR(E53="卖出",E53="转换转出"),IF(J53&lt;&gt;"",J53,F53-I53),IF(E53="现金分红",J53,0))))</x:f>
      </x:c>
      <x:c r="L53" s="11"/>
      <x:c r="M53" s="14"/>
    </x:row>
    <x:row r="54" ht="21" customHeight="1">
      <x:c r="A54" s="7"/>
      <x:c r="B54" s="8"/>
      <x:c r="C54" s="9"/>
      <x:c r="D54" s="10" t="str">
        <x:f>IF(C54="","",IFERROR(VLOOKUP(C54,'基金信息'!$A$6:$B$200,2,FALSE),"代码未找到"))</x:f>
      </x:c>
      <x:c r="E54" s="11"/>
      <x:c r="F54" s="12"/>
      <x:c r="G54" s="13"/>
      <x:c r="H54" s="13"/>
      <x:c r="I54" s="11"/>
      <x:c r="J54" s="11"/>
      <x:c r="K54" s="10" t="str">
        <x:f t="shared" si="0">IF(A54="","",IF(OR(E54="买入",E54="定投",E54="转换转入"),-(F54+I54),IF(OR(E54="卖出",E54="转换转出"),IF(J54&lt;&gt;"",J54,F54-I54),IF(E54="现金分红",J54,0))))</x:f>
      </x:c>
      <x:c r="L54" s="11"/>
      <x:c r="M54" s="14"/>
    </x:row>
    <x:row r="55" ht="21" customHeight="1">
      <x:c r="A55" s="7"/>
      <x:c r="B55" s="8"/>
      <x:c r="C55" s="9"/>
      <x:c r="D55" s="10" t="str">
        <x:f>IF(C55="","",IFERROR(VLOOKUP(C55,'基金信息'!$A$6:$B$200,2,FALSE),"代码未找到"))</x:f>
      </x:c>
      <x:c r="E55" s="11"/>
      <x:c r="F55" s="12"/>
      <x:c r="G55" s="13"/>
      <x:c r="H55" s="13"/>
      <x:c r="I55" s="11"/>
      <x:c r="J55" s="11"/>
      <x:c r="K55" s="10" t="str">
        <x:f t="shared" si="0">IF(A55="","",IF(OR(E55="买入",E55="定投",E55="转换转入"),-(F55+I55),IF(OR(E55="卖出",E55="转换转出"),IF(J55&lt;&gt;"",J55,F55-I55),IF(E55="现金分红",J55,0))))</x:f>
      </x:c>
      <x:c r="L55" s="11"/>
      <x:c r="M55" s="14"/>
    </x:row>
    <x:row r="56" ht="21" customHeight="1">
      <x:c r="A56" s="7"/>
      <x:c r="B56" s="8"/>
      <x:c r="C56" s="9"/>
      <x:c r="D56" s="10" t="str">
        <x:f>IF(C56="","",IFERROR(VLOOKUP(C56,'基金信息'!$A$6:$B$200,2,FALSE),"代码未找到"))</x:f>
      </x:c>
      <x:c r="E56" s="11"/>
      <x:c r="F56" s="12"/>
      <x:c r="G56" s="13"/>
      <x:c r="H56" s="13"/>
      <x:c r="I56" s="11"/>
      <x:c r="J56" s="11"/>
      <x:c r="K56" s="10" t="str">
        <x:f t="shared" si="0">IF(A56="","",IF(OR(E56="买入",E56="定投",E56="转换转入"),-(F56+I56),IF(OR(E56="卖出",E56="转换转出"),IF(J56&lt;&gt;"",J56,F56-I56),IF(E56="现金分红",J56,0))))</x:f>
      </x:c>
      <x:c r="L56" s="11"/>
      <x:c r="M56" s="14"/>
    </x:row>
    <x:row r="57" ht="21" customHeight="1">
      <x:c r="A57" s="7"/>
      <x:c r="B57" s="8"/>
      <x:c r="C57" s="9"/>
      <x:c r="D57" s="10" t="str">
        <x:f>IF(C57="","",IFERROR(VLOOKUP(C57,'基金信息'!$A$6:$B$200,2,FALSE),"代码未找到"))</x:f>
      </x:c>
      <x:c r="E57" s="11"/>
      <x:c r="F57" s="12"/>
      <x:c r="G57" s="13"/>
      <x:c r="H57" s="13"/>
      <x:c r="I57" s="11"/>
      <x:c r="J57" s="11"/>
      <x:c r="K57" s="10" t="str">
        <x:f t="shared" si="0">IF(A57="","",IF(OR(E57="买入",E57="定投",E57="转换转入"),-(F57+I57),IF(OR(E57="卖出",E57="转换转出"),IF(J57&lt;&gt;"",J57,F57-I57),IF(E57="现金分红",J57,0))))</x:f>
      </x:c>
      <x:c r="L57" s="11"/>
      <x:c r="M57" s="14"/>
    </x:row>
    <x:row r="58" ht="21" customHeight="1">
      <x:c r="A58" s="7"/>
      <x:c r="B58" s="8"/>
      <x:c r="C58" s="9"/>
      <x:c r="D58" s="10" t="str">
        <x:f>IF(C58="","",IFERROR(VLOOKUP(C58,'基金信息'!$A$6:$B$200,2,FALSE),"代码未找到"))</x:f>
      </x:c>
      <x:c r="E58" s="11"/>
      <x:c r="F58" s="12"/>
      <x:c r="G58" s="13"/>
      <x:c r="H58" s="13"/>
      <x:c r="I58" s="11"/>
      <x:c r="J58" s="11"/>
      <x:c r="K58" s="10" t="str">
        <x:f t="shared" si="0">IF(A58="","",IF(OR(E58="买入",E58="定投",E58="转换转入"),-(F58+I58),IF(OR(E58="卖出",E58="转换转出"),IF(J58&lt;&gt;"",J58,F58-I58),IF(E58="现金分红",J58,0))))</x:f>
      </x:c>
      <x:c r="L58" s="11"/>
      <x:c r="M58" s="14"/>
    </x:row>
    <x:row r="59" ht="21" customHeight="1">
      <x:c r="A59" s="7"/>
      <x:c r="B59" s="8"/>
      <x:c r="C59" s="9"/>
      <x:c r="D59" s="10" t="str">
        <x:f>IF(C59="","",IFERROR(VLOOKUP(C59,'基金信息'!$A$6:$B$200,2,FALSE),"代码未找到"))</x:f>
      </x:c>
      <x:c r="E59" s="11"/>
      <x:c r="F59" s="12"/>
      <x:c r="G59" s="13"/>
      <x:c r="H59" s="13"/>
      <x:c r="I59" s="11"/>
      <x:c r="J59" s="11"/>
      <x:c r="K59" s="10" t="str">
        <x:f t="shared" si="0">IF(A59="","",IF(OR(E59="买入",E59="定投",E59="转换转入"),-(F59+I59),IF(OR(E59="卖出",E59="转换转出"),IF(J59&lt;&gt;"",J59,F59-I59),IF(E59="现金分红",J59,0))))</x:f>
      </x:c>
      <x:c r="L59" s="11"/>
      <x:c r="M59" s="14"/>
    </x:row>
    <x:row r="60" ht="21" customHeight="1">
      <x:c r="A60" s="7"/>
      <x:c r="B60" s="8"/>
      <x:c r="C60" s="9"/>
      <x:c r="D60" s="10" t="str">
        <x:f>IF(C60="","",IFERROR(VLOOKUP(C60,'基金信息'!$A$6:$B$200,2,FALSE),"代码未找到"))</x:f>
      </x:c>
      <x:c r="E60" s="11"/>
      <x:c r="F60" s="12"/>
      <x:c r="G60" s="13"/>
      <x:c r="H60" s="13"/>
      <x:c r="I60" s="11"/>
      <x:c r="J60" s="11"/>
      <x:c r="K60" s="10" t="str">
        <x:f t="shared" si="0">IF(A60="","",IF(OR(E60="买入",E60="定投",E60="转换转入"),-(F60+I60),IF(OR(E60="卖出",E60="转换转出"),IF(J60&lt;&gt;"",J60,F60-I60),IF(E60="现金分红",J60,0))))</x:f>
      </x:c>
      <x:c r="L60" s="11"/>
      <x:c r="M60" s="14"/>
    </x:row>
    <x:row r="61" ht="21" customHeight="1">
      <x:c r="A61" s="7"/>
      <x:c r="B61" s="8"/>
      <x:c r="C61" s="9"/>
      <x:c r="D61" s="10" t="str">
        <x:f>IF(C61="","",IFERROR(VLOOKUP(C61,'基金信息'!$A$6:$B$200,2,FALSE),"代码未找到"))</x:f>
      </x:c>
      <x:c r="E61" s="11"/>
      <x:c r="F61" s="12"/>
      <x:c r="G61" s="13"/>
      <x:c r="H61" s="13"/>
      <x:c r="I61" s="11"/>
      <x:c r="J61" s="11"/>
      <x:c r="K61" s="10" t="str">
        <x:f t="shared" si="0">IF(A61="","",IF(OR(E61="买入",E61="定投",E61="转换转入"),-(F61+I61),IF(OR(E61="卖出",E61="转换转出"),IF(J61&lt;&gt;"",J61,F61-I61),IF(E61="现金分红",J61,0))))</x:f>
      </x:c>
      <x:c r="L61" s="11"/>
      <x:c r="M61" s="14"/>
    </x:row>
    <x:row r="62" ht="21" customHeight="1">
      <x:c r="A62" s="7"/>
      <x:c r="B62" s="8"/>
      <x:c r="C62" s="9"/>
      <x:c r="D62" s="10" t="str">
        <x:f>IF(C62="","",IFERROR(VLOOKUP(C62,'基金信息'!$A$6:$B$200,2,FALSE),"代码未找到"))</x:f>
      </x:c>
      <x:c r="E62" s="11"/>
      <x:c r="F62" s="12"/>
      <x:c r="G62" s="13"/>
      <x:c r="H62" s="13"/>
      <x:c r="I62" s="11"/>
      <x:c r="J62" s="11"/>
      <x:c r="K62" s="10" t="str">
        <x:f t="shared" si="0">IF(A62="","",IF(OR(E62="买入",E62="定投",E62="转换转入"),-(F62+I62),IF(OR(E62="卖出",E62="转换转出"),IF(J62&lt;&gt;"",J62,F62-I62),IF(E62="现金分红",J62,0))))</x:f>
      </x:c>
      <x:c r="L62" s="11"/>
      <x:c r="M62" s="14"/>
    </x:row>
    <x:row r="63" ht="21" customHeight="1">
      <x:c r="A63" s="7"/>
      <x:c r="B63" s="8"/>
      <x:c r="C63" s="9"/>
      <x:c r="D63" s="10" t="str">
        <x:f>IF(C63="","",IFERROR(VLOOKUP(C63,'基金信息'!$A$6:$B$200,2,FALSE),"代码未找到"))</x:f>
      </x:c>
      <x:c r="E63" s="11"/>
      <x:c r="F63" s="12"/>
      <x:c r="G63" s="13"/>
      <x:c r="H63" s="13"/>
      <x:c r="I63" s="11"/>
      <x:c r="J63" s="11"/>
      <x:c r="K63" s="10" t="str">
        <x:f t="shared" si="0">IF(A63="","",IF(OR(E63="买入",E63="定投",E63="转换转入"),-(F63+I63),IF(OR(E63="卖出",E63="转换转出"),IF(J63&lt;&gt;"",J63,F63-I63),IF(E63="现金分红",J63,0))))</x:f>
      </x:c>
      <x:c r="L63" s="11"/>
      <x:c r="M63" s="14"/>
    </x:row>
    <x:row r="64" ht="21" customHeight="1">
      <x:c r="A64" s="7"/>
      <x:c r="B64" s="8"/>
      <x:c r="C64" s="9"/>
      <x:c r="D64" s="10" t="str">
        <x:f>IF(C64="","",IFERROR(VLOOKUP(C64,'基金信息'!$A$6:$B$200,2,FALSE),"代码未找到"))</x:f>
      </x:c>
      <x:c r="E64" s="11"/>
      <x:c r="F64" s="12"/>
      <x:c r="G64" s="13"/>
      <x:c r="H64" s="13"/>
      <x:c r="I64" s="11"/>
      <x:c r="J64" s="11"/>
      <x:c r="K64" s="10" t="str">
        <x:f t="shared" si="0">IF(A64="","",IF(OR(E64="买入",E64="定投",E64="转换转入"),-(F64+I64),IF(OR(E64="卖出",E64="转换转出"),IF(J64&lt;&gt;"",J64,F64-I64),IF(E64="现金分红",J64,0))))</x:f>
      </x:c>
      <x:c r="L64" s="11"/>
      <x:c r="M64" s="14"/>
    </x:row>
    <x:row r="65" ht="21" customHeight="1">
      <x:c r="A65" s="7"/>
      <x:c r="B65" s="8"/>
      <x:c r="C65" s="9"/>
      <x:c r="D65" s="10" t="str">
        <x:f>IF(C65="","",IFERROR(VLOOKUP(C65,'基金信息'!$A$6:$B$200,2,FALSE),"代码未找到"))</x:f>
      </x:c>
      <x:c r="E65" s="11"/>
      <x:c r="F65" s="12"/>
      <x:c r="G65" s="13"/>
      <x:c r="H65" s="13"/>
      <x:c r="I65" s="11"/>
      <x:c r="J65" s="11"/>
      <x:c r="K65" s="10" t="str">
        <x:f t="shared" si="0">IF(A65="","",IF(OR(E65="买入",E65="定投",E65="转换转入"),-(F65+I65),IF(OR(E65="卖出",E65="转换转出"),IF(J65&lt;&gt;"",J65,F65-I65),IF(E65="现金分红",J65,0))))</x:f>
      </x:c>
      <x:c r="L65" s="11"/>
      <x:c r="M65" s="14"/>
    </x:row>
    <x:row r="66" ht="21" customHeight="1">
      <x:c r="A66" s="7"/>
      <x:c r="B66" s="8"/>
      <x:c r="C66" s="9"/>
      <x:c r="D66" s="10" t="str">
        <x:f>IF(C66="","",IFERROR(VLOOKUP(C66,'基金信息'!$A$6:$B$200,2,FALSE),"代码未找到"))</x:f>
      </x:c>
      <x:c r="E66" s="11"/>
      <x:c r="F66" s="12"/>
      <x:c r="G66" s="13"/>
      <x:c r="H66" s="13"/>
      <x:c r="I66" s="11"/>
      <x:c r="J66" s="11"/>
      <x:c r="K66" s="10" t="str">
        <x:f t="shared" si="0">IF(A66="","",IF(OR(E66="买入",E66="定投",E66="转换转入"),-(F66+I66),IF(OR(E66="卖出",E66="转换转出"),IF(J66&lt;&gt;"",J66,F66-I66),IF(E66="现金分红",J66,0))))</x:f>
      </x:c>
      <x:c r="L66" s="11"/>
      <x:c r="M66" s="14"/>
    </x:row>
    <x:row r="67" ht="21" customHeight="1">
      <x:c r="A67" s="7"/>
      <x:c r="B67" s="8"/>
      <x:c r="C67" s="9"/>
      <x:c r="D67" s="10" t="str">
        <x:f>IF(C67="","",IFERROR(VLOOKUP(C67,'基金信息'!$A$6:$B$200,2,FALSE),"代码未找到"))</x:f>
      </x:c>
      <x:c r="E67" s="11"/>
      <x:c r="F67" s="12"/>
      <x:c r="G67" s="13"/>
      <x:c r="H67" s="13"/>
      <x:c r="I67" s="11"/>
      <x:c r="J67" s="11"/>
      <x:c r="K67" s="10" t="str">
        <x:f t="shared" si="0">IF(A67="","",IF(OR(E67="买入",E67="定投",E67="转换转入"),-(F67+I67),IF(OR(E67="卖出",E67="转换转出"),IF(J67&lt;&gt;"",J67,F67-I67),IF(E67="现金分红",J67,0))))</x:f>
      </x:c>
      <x:c r="L67" s="11"/>
      <x:c r="M67" s="14"/>
    </x:row>
    <x:row r="68" ht="21" customHeight="1">
      <x:c r="A68" s="7"/>
      <x:c r="B68" s="8"/>
      <x:c r="C68" s="9"/>
      <x:c r="D68" s="10" t="str">
        <x:f>IF(C68="","",IFERROR(VLOOKUP(C68,'基金信息'!$A$6:$B$200,2,FALSE),"代码未找到"))</x:f>
      </x:c>
      <x:c r="E68" s="11"/>
      <x:c r="F68" s="12"/>
      <x:c r="G68" s="13"/>
      <x:c r="H68" s="13"/>
      <x:c r="I68" s="11"/>
      <x:c r="J68" s="11"/>
      <x:c r="K68" s="10" t="str">
        <x:f t="shared" si="0">IF(A68="","",IF(OR(E68="买入",E68="定投",E68="转换转入"),-(F68+I68),IF(OR(E68="卖出",E68="转换转出"),IF(J68&lt;&gt;"",J68,F68-I68),IF(E68="现金分红",J68,0))))</x:f>
      </x:c>
      <x:c r="L68" s="11"/>
      <x:c r="M68" s="14"/>
    </x:row>
    <x:row r="69" ht="21" customHeight="1">
      <x:c r="A69" s="7"/>
      <x:c r="B69" s="8"/>
      <x:c r="C69" s="9"/>
      <x:c r="D69" s="10" t="str">
        <x:f>IF(C69="","",IFERROR(VLOOKUP(C69,'基金信息'!$A$6:$B$200,2,FALSE),"代码未找到"))</x:f>
      </x:c>
      <x:c r="E69" s="11"/>
      <x:c r="F69" s="12"/>
      <x:c r="G69" s="13"/>
      <x:c r="H69" s="13"/>
      <x:c r="I69" s="11"/>
      <x:c r="J69" s="11"/>
      <x:c r="K69" s="10" t="str">
        <x:f t="shared" ref="K69:K132" si="1">IF(A69="","",IF(OR(E69="买入",E69="定投",E69="转换转入"),-(F69+I69),IF(OR(E69="卖出",E69="转换转出"),IF(J69&lt;&gt;"",J69,F69-I69),IF(E69="现金分红",J69,0))))</x:f>
      </x:c>
      <x:c r="L69" s="11"/>
      <x:c r="M69" s="14"/>
    </x:row>
    <x:row r="70" ht="21" customHeight="1">
      <x:c r="A70" s="7"/>
      <x:c r="B70" s="8"/>
      <x:c r="C70" s="9"/>
      <x:c r="D70" s="10" t="str">
        <x:f>IF(C70="","",IFERROR(VLOOKUP(C70,'基金信息'!$A$6:$B$200,2,FALSE),"代码未找到"))</x:f>
      </x:c>
      <x:c r="E70" s="11"/>
      <x:c r="F70" s="12"/>
      <x:c r="G70" s="13"/>
      <x:c r="H70" s="13"/>
      <x:c r="I70" s="11"/>
      <x:c r="J70" s="11"/>
      <x:c r="K70" s="10" t="str">
        <x:f t="shared" si="1">IF(A70="","",IF(OR(E70="买入",E70="定投",E70="转换转入"),-(F70+I70),IF(OR(E70="卖出",E70="转换转出"),IF(J70&lt;&gt;"",J70,F70-I70),IF(E70="现金分红",J70,0))))</x:f>
      </x:c>
      <x:c r="L70" s="11"/>
      <x:c r="M70" s="14"/>
    </x:row>
    <x:row r="71" ht="21" customHeight="1">
      <x:c r="A71" s="7"/>
      <x:c r="B71" s="8"/>
      <x:c r="C71" s="9"/>
      <x:c r="D71" s="10" t="str">
        <x:f>IF(C71="","",IFERROR(VLOOKUP(C71,'基金信息'!$A$6:$B$200,2,FALSE),"代码未找到"))</x:f>
      </x:c>
      <x:c r="E71" s="11"/>
      <x:c r="F71" s="12"/>
      <x:c r="G71" s="13"/>
      <x:c r="H71" s="13"/>
      <x:c r="I71" s="11"/>
      <x:c r="J71" s="11"/>
      <x:c r="K71" s="10" t="str">
        <x:f t="shared" si="1">IF(A71="","",IF(OR(E71="买入",E71="定投",E71="转换转入"),-(F71+I71),IF(OR(E71="卖出",E71="转换转出"),IF(J71&lt;&gt;"",J71,F71-I71),IF(E71="现金分红",J71,0))))</x:f>
      </x:c>
      <x:c r="L71" s="11"/>
      <x:c r="M71" s="14"/>
    </x:row>
    <x:row r="72" ht="21" customHeight="1">
      <x:c r="A72" s="7"/>
      <x:c r="B72" s="8"/>
      <x:c r="C72" s="9"/>
      <x:c r="D72" s="10" t="str">
        <x:f>IF(C72="","",IFERROR(VLOOKUP(C72,'基金信息'!$A$6:$B$200,2,FALSE),"代码未找到"))</x:f>
      </x:c>
      <x:c r="E72" s="11"/>
      <x:c r="F72" s="12"/>
      <x:c r="G72" s="13"/>
      <x:c r="H72" s="13"/>
      <x:c r="I72" s="11"/>
      <x:c r="J72" s="11"/>
      <x:c r="K72" s="10" t="str">
        <x:f t="shared" si="1">IF(A72="","",IF(OR(E72="买入",E72="定投",E72="转换转入"),-(F72+I72),IF(OR(E72="卖出",E72="转换转出"),IF(J72&lt;&gt;"",J72,F72-I72),IF(E72="现金分红",J72,0))))</x:f>
      </x:c>
      <x:c r="L72" s="11"/>
      <x:c r="M72" s="14"/>
    </x:row>
    <x:row r="73" ht="21" customHeight="1">
      <x:c r="A73" s="7"/>
      <x:c r="B73" s="8"/>
      <x:c r="C73" s="9"/>
      <x:c r="D73" s="10" t="str">
        <x:f>IF(C73="","",IFERROR(VLOOKUP(C73,'基金信息'!$A$6:$B$200,2,FALSE),"代码未找到"))</x:f>
      </x:c>
      <x:c r="E73" s="11"/>
      <x:c r="F73" s="12"/>
      <x:c r="G73" s="13"/>
      <x:c r="H73" s="13"/>
      <x:c r="I73" s="11"/>
      <x:c r="J73" s="11"/>
      <x:c r="K73" s="10" t="str">
        <x:f t="shared" si="1">IF(A73="","",IF(OR(E73="买入",E73="定投",E73="转换转入"),-(F73+I73),IF(OR(E73="卖出",E73="转换转出"),IF(J73&lt;&gt;"",J73,F73-I73),IF(E73="现金分红",J73,0))))</x:f>
      </x:c>
      <x:c r="L73" s="11"/>
      <x:c r="M73" s="14"/>
    </x:row>
    <x:row r="74" ht="21" customHeight="1">
      <x:c r="A74" s="7"/>
      <x:c r="B74" s="8"/>
      <x:c r="C74" s="9"/>
      <x:c r="D74" s="10" t="str">
        <x:f>IF(C74="","",IFERROR(VLOOKUP(C74,'基金信息'!$A$6:$B$200,2,FALSE),"代码未找到"))</x:f>
      </x:c>
      <x:c r="E74" s="11"/>
      <x:c r="F74" s="12"/>
      <x:c r="G74" s="13"/>
      <x:c r="H74" s="13"/>
      <x:c r="I74" s="11"/>
      <x:c r="J74" s="11"/>
      <x:c r="K74" s="10" t="str">
        <x:f t="shared" si="1">IF(A74="","",IF(OR(E74="买入",E74="定投",E74="转换转入"),-(F74+I74),IF(OR(E74="卖出",E74="转换转出"),IF(J74&lt;&gt;"",J74,F74-I74),IF(E74="现金分红",J74,0))))</x:f>
      </x:c>
      <x:c r="L74" s="11"/>
      <x:c r="M74" s="14"/>
    </x:row>
    <x:row r="75" ht="21" customHeight="1">
      <x:c r="A75" s="7"/>
      <x:c r="B75" s="8"/>
      <x:c r="C75" s="9"/>
      <x:c r="D75" s="10" t="str">
        <x:f>IF(C75="","",IFERROR(VLOOKUP(C75,'基金信息'!$A$6:$B$200,2,FALSE),"代码未找到"))</x:f>
      </x:c>
      <x:c r="E75" s="11"/>
      <x:c r="F75" s="12"/>
      <x:c r="G75" s="13"/>
      <x:c r="H75" s="13"/>
      <x:c r="I75" s="11"/>
      <x:c r="J75" s="11"/>
      <x:c r="K75" s="10" t="str">
        <x:f t="shared" si="1">IF(A75="","",IF(OR(E75="买入",E75="定投",E75="转换转入"),-(F75+I75),IF(OR(E75="卖出",E75="转换转出"),IF(J75&lt;&gt;"",J75,F75-I75),IF(E75="现金分红",J75,0))))</x:f>
      </x:c>
      <x:c r="L75" s="11"/>
      <x:c r="M75" s="14"/>
    </x:row>
    <x:row r="76" ht="21" customHeight="1">
      <x:c r="A76" s="7"/>
      <x:c r="B76" s="8"/>
      <x:c r="C76" s="9"/>
      <x:c r="D76" s="10" t="str">
        <x:f>IF(C76="","",IFERROR(VLOOKUP(C76,'基金信息'!$A$6:$B$200,2,FALSE),"代码未找到"))</x:f>
      </x:c>
      <x:c r="E76" s="11"/>
      <x:c r="F76" s="12"/>
      <x:c r="G76" s="13"/>
      <x:c r="H76" s="13"/>
      <x:c r="I76" s="11"/>
      <x:c r="J76" s="11"/>
      <x:c r="K76" s="10" t="str">
        <x:f t="shared" si="1">IF(A76="","",IF(OR(E76="买入",E76="定投",E76="转换转入"),-(F76+I76),IF(OR(E76="卖出",E76="转换转出"),IF(J76&lt;&gt;"",J76,F76-I76),IF(E76="现金分红",J76,0))))</x:f>
      </x:c>
      <x:c r="L76" s="11"/>
      <x:c r="M76" s="14"/>
    </x:row>
    <x:row r="77" ht="21" customHeight="1">
      <x:c r="A77" s="7"/>
      <x:c r="B77" s="8"/>
      <x:c r="C77" s="9"/>
      <x:c r="D77" s="10" t="str">
        <x:f>IF(C77="","",IFERROR(VLOOKUP(C77,'基金信息'!$A$6:$B$200,2,FALSE),"代码未找到"))</x:f>
      </x:c>
      <x:c r="E77" s="11"/>
      <x:c r="F77" s="12"/>
      <x:c r="G77" s="13"/>
      <x:c r="H77" s="13"/>
      <x:c r="I77" s="11"/>
      <x:c r="J77" s="11"/>
      <x:c r="K77" s="10" t="str">
        <x:f t="shared" si="1">IF(A77="","",IF(OR(E77="买入",E77="定投",E77="转换转入"),-(F77+I77),IF(OR(E77="卖出",E77="转换转出"),IF(J77&lt;&gt;"",J77,F77-I77),IF(E77="现金分红",J77,0))))</x:f>
      </x:c>
      <x:c r="L77" s="11"/>
      <x:c r="M77" s="14"/>
    </x:row>
    <x:row r="78" ht="21" customHeight="1">
      <x:c r="A78" s="7"/>
      <x:c r="B78" s="8"/>
      <x:c r="C78" s="9"/>
      <x:c r="D78" s="10" t="str">
        <x:f>IF(C78="","",IFERROR(VLOOKUP(C78,'基金信息'!$A$6:$B$200,2,FALSE),"代码未找到"))</x:f>
      </x:c>
      <x:c r="E78" s="11"/>
      <x:c r="F78" s="12"/>
      <x:c r="G78" s="13"/>
      <x:c r="H78" s="13"/>
      <x:c r="I78" s="11"/>
      <x:c r="J78" s="11"/>
      <x:c r="K78" s="10" t="str">
        <x:f t="shared" si="1">IF(A78="","",IF(OR(E78="买入",E78="定投",E78="转换转入"),-(F78+I78),IF(OR(E78="卖出",E78="转换转出"),IF(J78&lt;&gt;"",J78,F78-I78),IF(E78="现金分红",J78,0))))</x:f>
      </x:c>
      <x:c r="L78" s="11"/>
      <x:c r="M78" s="14"/>
    </x:row>
    <x:row r="79" ht="21" customHeight="1">
      <x:c r="A79" s="7"/>
      <x:c r="B79" s="8"/>
      <x:c r="C79" s="9"/>
      <x:c r="D79" s="10" t="str">
        <x:f>IF(C79="","",IFERROR(VLOOKUP(C79,'基金信息'!$A$6:$B$200,2,FALSE),"代码未找到"))</x:f>
      </x:c>
      <x:c r="E79" s="11"/>
      <x:c r="F79" s="12"/>
      <x:c r="G79" s="13"/>
      <x:c r="H79" s="13"/>
      <x:c r="I79" s="11"/>
      <x:c r="J79" s="11"/>
      <x:c r="K79" s="10" t="str">
        <x:f t="shared" si="1">IF(A79="","",IF(OR(E79="买入",E79="定投",E79="转换转入"),-(F79+I79),IF(OR(E79="卖出",E79="转换转出"),IF(J79&lt;&gt;"",J79,F79-I79),IF(E79="现金分红",J79,0))))</x:f>
      </x:c>
      <x:c r="L79" s="11"/>
      <x:c r="M79" s="14"/>
    </x:row>
    <x:row r="80" ht="21" customHeight="1">
      <x:c r="A80" s="7"/>
      <x:c r="B80" s="8"/>
      <x:c r="C80" s="9"/>
      <x:c r="D80" s="10" t="str">
        <x:f>IF(C80="","",IFERROR(VLOOKUP(C80,'基金信息'!$A$6:$B$200,2,FALSE),"代码未找到"))</x:f>
      </x:c>
      <x:c r="E80" s="11"/>
      <x:c r="F80" s="12"/>
      <x:c r="G80" s="13"/>
      <x:c r="H80" s="13"/>
      <x:c r="I80" s="11"/>
      <x:c r="J80" s="11"/>
      <x:c r="K80" s="10" t="str">
        <x:f t="shared" si="1">IF(A80="","",IF(OR(E80="买入",E80="定投",E80="转换转入"),-(F80+I80),IF(OR(E80="卖出",E80="转换转出"),IF(J80&lt;&gt;"",J80,F80-I80),IF(E80="现金分红",J80,0))))</x:f>
      </x:c>
      <x:c r="L80" s="11"/>
      <x:c r="M80" s="14"/>
    </x:row>
    <x:row r="81" ht="21" customHeight="1">
      <x:c r="A81" s="7"/>
      <x:c r="B81" s="8"/>
      <x:c r="C81" s="9"/>
      <x:c r="D81" s="10" t="str">
        <x:f>IF(C81="","",IFERROR(VLOOKUP(C81,'基金信息'!$A$6:$B$200,2,FALSE),"代码未找到"))</x:f>
      </x:c>
      <x:c r="E81" s="11"/>
      <x:c r="F81" s="12"/>
      <x:c r="G81" s="13"/>
      <x:c r="H81" s="13"/>
      <x:c r="I81" s="11"/>
      <x:c r="J81" s="11"/>
      <x:c r="K81" s="10" t="str">
        <x:f t="shared" si="1">IF(A81="","",IF(OR(E81="买入",E81="定投",E81="转换转入"),-(F81+I81),IF(OR(E81="卖出",E81="转换转出"),IF(J81&lt;&gt;"",J81,F81-I81),IF(E81="现金分红",J81,0))))</x:f>
      </x:c>
      <x:c r="L81" s="11"/>
      <x:c r="M81" s="14"/>
    </x:row>
    <x:row r="82" ht="21" customHeight="1">
      <x:c r="A82" s="7"/>
      <x:c r="B82" s="8"/>
      <x:c r="C82" s="9"/>
      <x:c r="D82" s="10" t="str">
        <x:f>IF(C82="","",IFERROR(VLOOKUP(C82,'基金信息'!$A$6:$B$200,2,FALSE),"代码未找到"))</x:f>
      </x:c>
      <x:c r="E82" s="11"/>
      <x:c r="F82" s="12"/>
      <x:c r="G82" s="13"/>
      <x:c r="H82" s="13"/>
      <x:c r="I82" s="11"/>
      <x:c r="J82" s="11"/>
      <x:c r="K82" s="10" t="str">
        <x:f t="shared" si="1">IF(A82="","",IF(OR(E82="买入",E82="定投",E82="转换转入"),-(F82+I82),IF(OR(E82="卖出",E82="转换转出"),IF(J82&lt;&gt;"",J82,F82-I82),IF(E82="现金分红",J82,0))))</x:f>
      </x:c>
      <x:c r="L82" s="11"/>
      <x:c r="M82" s="14"/>
    </x:row>
    <x:row r="83" ht="21" customHeight="1">
      <x:c r="A83" s="7"/>
      <x:c r="B83" s="8"/>
      <x:c r="C83" s="9"/>
      <x:c r="D83" s="10" t="str">
        <x:f>IF(C83="","",IFERROR(VLOOKUP(C83,'基金信息'!$A$6:$B$200,2,FALSE),"代码未找到"))</x:f>
      </x:c>
      <x:c r="E83" s="11"/>
      <x:c r="F83" s="12"/>
      <x:c r="G83" s="13"/>
      <x:c r="H83" s="13"/>
      <x:c r="I83" s="11"/>
      <x:c r="J83" s="11"/>
      <x:c r="K83" s="10" t="str">
        <x:f t="shared" si="1">IF(A83="","",IF(OR(E83="买入",E83="定投",E83="转换转入"),-(F83+I83),IF(OR(E83="卖出",E83="转换转出"),IF(J83&lt;&gt;"",J83,F83-I83),IF(E83="现金分红",J83,0))))</x:f>
      </x:c>
      <x:c r="L83" s="11"/>
      <x:c r="M83" s="14"/>
    </x:row>
    <x:row r="84" ht="21" customHeight="1">
      <x:c r="A84" s="7"/>
      <x:c r="B84" s="8"/>
      <x:c r="C84" s="9"/>
      <x:c r="D84" s="10" t="str">
        <x:f>IF(C84="","",IFERROR(VLOOKUP(C84,'基金信息'!$A$6:$B$200,2,FALSE),"代码未找到"))</x:f>
      </x:c>
      <x:c r="E84" s="11"/>
      <x:c r="F84" s="12"/>
      <x:c r="G84" s="13"/>
      <x:c r="H84" s="13"/>
      <x:c r="I84" s="11"/>
      <x:c r="J84" s="11"/>
      <x:c r="K84" s="10" t="str">
        <x:f t="shared" si="1">IF(A84="","",IF(OR(E84="买入",E84="定投",E84="转换转入"),-(F84+I84),IF(OR(E84="卖出",E84="转换转出"),IF(J84&lt;&gt;"",J84,F84-I84),IF(E84="现金分红",J84,0))))</x:f>
      </x:c>
      <x:c r="L84" s="11"/>
      <x:c r="M84" s="14"/>
    </x:row>
    <x:row r="85" ht="21" customHeight="1">
      <x:c r="A85" s="7"/>
      <x:c r="B85" s="8"/>
      <x:c r="C85" s="9"/>
      <x:c r="D85" s="10" t="str">
        <x:f>IF(C85="","",IFERROR(VLOOKUP(C85,'基金信息'!$A$6:$B$200,2,FALSE),"代码未找到"))</x:f>
      </x:c>
      <x:c r="E85" s="11"/>
      <x:c r="F85" s="12"/>
      <x:c r="G85" s="13"/>
      <x:c r="H85" s="13"/>
      <x:c r="I85" s="11"/>
      <x:c r="J85" s="11"/>
      <x:c r="K85" s="10" t="str">
        <x:f t="shared" si="1">IF(A85="","",IF(OR(E85="买入",E85="定投",E85="转换转入"),-(F85+I85),IF(OR(E85="卖出",E85="转换转出"),IF(J85&lt;&gt;"",J85,F85-I85),IF(E85="现金分红",J85,0))))</x:f>
      </x:c>
      <x:c r="L85" s="11"/>
      <x:c r="M85" s="14"/>
    </x:row>
    <x:row r="86" ht="21" customHeight="1">
      <x:c r="A86" s="7"/>
      <x:c r="B86" s="8"/>
      <x:c r="C86" s="9"/>
      <x:c r="D86" s="10" t="str">
        <x:f>IF(C86="","",IFERROR(VLOOKUP(C86,'基金信息'!$A$6:$B$200,2,FALSE),"代码未找到"))</x:f>
      </x:c>
      <x:c r="E86" s="11"/>
      <x:c r="F86" s="12"/>
      <x:c r="G86" s="13"/>
      <x:c r="H86" s="13"/>
      <x:c r="I86" s="11"/>
      <x:c r="J86" s="11"/>
      <x:c r="K86" s="10" t="str">
        <x:f t="shared" si="1">IF(A86="","",IF(OR(E86="买入",E86="定投",E86="转换转入"),-(F86+I86),IF(OR(E86="卖出",E86="转换转出"),IF(J86&lt;&gt;"",J86,F86-I86),IF(E86="现金分红",J86,0))))</x:f>
      </x:c>
      <x:c r="L86" s="11"/>
      <x:c r="M86" s="14"/>
    </x:row>
    <x:row r="87" ht="21" customHeight="1">
      <x:c r="A87" s="7"/>
      <x:c r="B87" s="8"/>
      <x:c r="C87" s="9"/>
      <x:c r="D87" s="10" t="str">
        <x:f>IF(C87="","",IFERROR(VLOOKUP(C87,'基金信息'!$A$6:$B$200,2,FALSE),"代码未找到"))</x:f>
      </x:c>
      <x:c r="E87" s="11"/>
      <x:c r="F87" s="12"/>
      <x:c r="G87" s="13"/>
      <x:c r="H87" s="13"/>
      <x:c r="I87" s="11"/>
      <x:c r="J87" s="11"/>
      <x:c r="K87" s="10" t="str">
        <x:f t="shared" si="1">IF(A87="","",IF(OR(E87="买入",E87="定投",E87="转换转入"),-(F87+I87),IF(OR(E87="卖出",E87="转换转出"),IF(J87&lt;&gt;"",J87,F87-I87),IF(E87="现金分红",J87,0))))</x:f>
      </x:c>
      <x:c r="L87" s="11"/>
      <x:c r="M87" s="14"/>
    </x:row>
    <x:row r="88" ht="21" customHeight="1">
      <x:c r="A88" s="7"/>
      <x:c r="B88" s="8"/>
      <x:c r="C88" s="9"/>
      <x:c r="D88" s="10" t="str">
        <x:f>IF(C88="","",IFERROR(VLOOKUP(C88,'基金信息'!$A$6:$B$200,2,FALSE),"代码未找到"))</x:f>
      </x:c>
      <x:c r="E88" s="11"/>
      <x:c r="F88" s="12"/>
      <x:c r="G88" s="13"/>
      <x:c r="H88" s="13"/>
      <x:c r="I88" s="11"/>
      <x:c r="J88" s="11"/>
      <x:c r="K88" s="10" t="str">
        <x:f t="shared" si="1">IF(A88="","",IF(OR(E88="买入",E88="定投",E88="转换转入"),-(F88+I88),IF(OR(E88="卖出",E88="转换转出"),IF(J88&lt;&gt;"",J88,F88-I88),IF(E88="现金分红",J88,0))))</x:f>
      </x:c>
      <x:c r="L88" s="11"/>
      <x:c r="M88" s="14"/>
    </x:row>
    <x:row r="89" ht="21" customHeight="1">
      <x:c r="A89" s="7"/>
      <x:c r="B89" s="8"/>
      <x:c r="C89" s="9"/>
      <x:c r="D89" s="10" t="str">
        <x:f>IF(C89="","",IFERROR(VLOOKUP(C89,'基金信息'!$A$6:$B$200,2,FALSE),"代码未找到"))</x:f>
      </x:c>
      <x:c r="E89" s="11"/>
      <x:c r="F89" s="12"/>
      <x:c r="G89" s="13"/>
      <x:c r="H89" s="13"/>
      <x:c r="I89" s="11"/>
      <x:c r="J89" s="11"/>
      <x:c r="K89" s="10" t="str">
        <x:f t="shared" si="1">IF(A89="","",IF(OR(E89="买入",E89="定投",E89="转换转入"),-(F89+I89),IF(OR(E89="卖出",E89="转换转出"),IF(J89&lt;&gt;"",J89,F89-I89),IF(E89="现金分红",J89,0))))</x:f>
      </x:c>
      <x:c r="L89" s="11"/>
      <x:c r="M89" s="14"/>
    </x:row>
    <x:row r="90" ht="21" customHeight="1">
      <x:c r="A90" s="7"/>
      <x:c r="B90" s="8"/>
      <x:c r="C90" s="9"/>
      <x:c r="D90" s="10" t="str">
        <x:f>IF(C90="","",IFERROR(VLOOKUP(C90,'基金信息'!$A$6:$B$200,2,FALSE),"代码未找到"))</x:f>
      </x:c>
      <x:c r="E90" s="11"/>
      <x:c r="F90" s="12"/>
      <x:c r="G90" s="13"/>
      <x:c r="H90" s="13"/>
      <x:c r="I90" s="11"/>
      <x:c r="J90" s="11"/>
      <x:c r="K90" s="10" t="str">
        <x:f t="shared" si="1">IF(A90="","",IF(OR(E90="买入",E90="定投",E90="转换转入"),-(F90+I90),IF(OR(E90="卖出",E90="转换转出"),IF(J90&lt;&gt;"",J90,F90-I90),IF(E90="现金分红",J90,0))))</x:f>
      </x:c>
      <x:c r="L90" s="11"/>
      <x:c r="M90" s="14"/>
    </x:row>
    <x:row r="91" ht="21" customHeight="1">
      <x:c r="A91" s="7"/>
      <x:c r="B91" s="8"/>
      <x:c r="C91" s="9"/>
      <x:c r="D91" s="10" t="str">
        <x:f>IF(C91="","",IFERROR(VLOOKUP(C91,'基金信息'!$A$6:$B$200,2,FALSE),"代码未找到"))</x:f>
      </x:c>
      <x:c r="E91" s="11"/>
      <x:c r="F91" s="12"/>
      <x:c r="G91" s="13"/>
      <x:c r="H91" s="13"/>
      <x:c r="I91" s="11"/>
      <x:c r="J91" s="11"/>
      <x:c r="K91" s="10" t="str">
        <x:f t="shared" si="1">IF(A91="","",IF(OR(E91="买入",E91="定投",E91="转换转入"),-(F91+I91),IF(OR(E91="卖出",E91="转换转出"),IF(J91&lt;&gt;"",J91,F91-I91),IF(E91="现金分红",J91,0))))</x:f>
      </x:c>
      <x:c r="L91" s="11"/>
      <x:c r="M91" s="14"/>
    </x:row>
    <x:row r="92" ht="21" customHeight="1">
      <x:c r="A92" s="7"/>
      <x:c r="B92" s="8"/>
      <x:c r="C92" s="9"/>
      <x:c r="D92" s="10" t="str">
        <x:f>IF(C92="","",IFERROR(VLOOKUP(C92,'基金信息'!$A$6:$B$200,2,FALSE),"代码未找到"))</x:f>
      </x:c>
      <x:c r="E92" s="11"/>
      <x:c r="F92" s="12"/>
      <x:c r="G92" s="13"/>
      <x:c r="H92" s="13"/>
      <x:c r="I92" s="11"/>
      <x:c r="J92" s="11"/>
      <x:c r="K92" s="10" t="str">
        <x:f t="shared" si="1">IF(A92="","",IF(OR(E92="买入",E92="定投",E92="转换转入"),-(F92+I92),IF(OR(E92="卖出",E92="转换转出"),IF(J92&lt;&gt;"",J92,F92-I92),IF(E92="现金分红",J92,0))))</x:f>
      </x:c>
      <x:c r="L92" s="11"/>
      <x:c r="M92" s="14"/>
    </x:row>
    <x:row r="93" ht="21" customHeight="1">
      <x:c r="A93" s="7"/>
      <x:c r="B93" s="8"/>
      <x:c r="C93" s="9"/>
      <x:c r="D93" s="10" t="str">
        <x:f>IF(C93="","",IFERROR(VLOOKUP(C93,'基金信息'!$A$6:$B$200,2,FALSE),"代码未找到"))</x:f>
      </x:c>
      <x:c r="E93" s="11"/>
      <x:c r="F93" s="12"/>
      <x:c r="G93" s="13"/>
      <x:c r="H93" s="13"/>
      <x:c r="I93" s="11"/>
      <x:c r="J93" s="11"/>
      <x:c r="K93" s="10" t="str">
        <x:f t="shared" si="1">IF(A93="","",IF(OR(E93="买入",E93="定投",E93="转换转入"),-(F93+I93),IF(OR(E93="卖出",E93="转换转出"),IF(J93&lt;&gt;"",J93,F93-I93),IF(E93="现金分红",J93,0))))</x:f>
      </x:c>
      <x:c r="L93" s="11"/>
      <x:c r="M93" s="14"/>
    </x:row>
    <x:row r="94" ht="21" customHeight="1">
      <x:c r="A94" s="7"/>
      <x:c r="B94" s="8"/>
      <x:c r="C94" s="9"/>
      <x:c r="D94" s="10" t="str">
        <x:f>IF(C94="","",IFERROR(VLOOKUP(C94,'基金信息'!$A$6:$B$200,2,FALSE),"代码未找到"))</x:f>
      </x:c>
      <x:c r="E94" s="11"/>
      <x:c r="F94" s="12"/>
      <x:c r="G94" s="13"/>
      <x:c r="H94" s="13"/>
      <x:c r="I94" s="11"/>
      <x:c r="J94" s="11"/>
      <x:c r="K94" s="10" t="str">
        <x:f t="shared" si="1">IF(A94="","",IF(OR(E94="买入",E94="定投",E94="转换转入"),-(F94+I94),IF(OR(E94="卖出",E94="转换转出"),IF(J94&lt;&gt;"",J94,F94-I94),IF(E94="现金分红",J94,0))))</x:f>
      </x:c>
      <x:c r="L94" s="11"/>
      <x:c r="M94" s="14"/>
    </x:row>
    <x:row r="95" ht="21" customHeight="1">
      <x:c r="A95" s="7"/>
      <x:c r="B95" s="8"/>
      <x:c r="C95" s="9"/>
      <x:c r="D95" s="10" t="str">
        <x:f>IF(C95="","",IFERROR(VLOOKUP(C95,'基金信息'!$A$6:$B$200,2,FALSE),"代码未找到"))</x:f>
      </x:c>
      <x:c r="E95" s="11"/>
      <x:c r="F95" s="12"/>
      <x:c r="G95" s="13"/>
      <x:c r="H95" s="13"/>
      <x:c r="I95" s="11"/>
      <x:c r="J95" s="11"/>
      <x:c r="K95" s="10" t="str">
        <x:f t="shared" si="1">IF(A95="","",IF(OR(E95="买入",E95="定投",E95="转换转入"),-(F95+I95),IF(OR(E95="卖出",E95="转换转出"),IF(J95&lt;&gt;"",J95,F95-I95),IF(E95="现金分红",J95,0))))</x:f>
      </x:c>
      <x:c r="L95" s="11"/>
      <x:c r="M95" s="14"/>
    </x:row>
    <x:row r="96" ht="21" customHeight="1">
      <x:c r="A96" s="7"/>
      <x:c r="B96" s="8"/>
      <x:c r="C96" s="9"/>
      <x:c r="D96" s="10" t="str">
        <x:f>IF(C96="","",IFERROR(VLOOKUP(C96,'基金信息'!$A$6:$B$200,2,FALSE),"代码未找到"))</x:f>
      </x:c>
      <x:c r="E96" s="11"/>
      <x:c r="F96" s="12"/>
      <x:c r="G96" s="13"/>
      <x:c r="H96" s="13"/>
      <x:c r="I96" s="11"/>
      <x:c r="J96" s="11"/>
      <x:c r="K96" s="10" t="str">
        <x:f t="shared" si="1">IF(A96="","",IF(OR(E96="买入",E96="定投",E96="转换转入"),-(F96+I96),IF(OR(E96="卖出",E96="转换转出"),IF(J96&lt;&gt;"",J96,F96-I96),IF(E96="现金分红",J96,0))))</x:f>
      </x:c>
      <x:c r="L96" s="11"/>
      <x:c r="M96" s="14"/>
    </x:row>
    <x:row r="97" ht="21" customHeight="1">
      <x:c r="A97" s="7"/>
      <x:c r="B97" s="8"/>
      <x:c r="C97" s="9"/>
      <x:c r="D97" s="10" t="str">
        <x:f>IF(C97="","",IFERROR(VLOOKUP(C97,'基金信息'!$A$6:$B$200,2,FALSE),"代码未找到"))</x:f>
      </x:c>
      <x:c r="E97" s="11"/>
      <x:c r="F97" s="12"/>
      <x:c r="G97" s="13"/>
      <x:c r="H97" s="13"/>
      <x:c r="I97" s="11"/>
      <x:c r="J97" s="11"/>
      <x:c r="K97" s="10" t="str">
        <x:f t="shared" si="1">IF(A97="","",IF(OR(E97="买入",E97="定投",E97="转换转入"),-(F97+I97),IF(OR(E97="卖出",E97="转换转出"),IF(J97&lt;&gt;"",J97,F97-I97),IF(E97="现金分红",J97,0))))</x:f>
      </x:c>
      <x:c r="L97" s="11"/>
      <x:c r="M97" s="14"/>
    </x:row>
    <x:row r="98" ht="21" customHeight="1">
      <x:c r="A98" s="7"/>
      <x:c r="B98" s="8"/>
      <x:c r="C98" s="9"/>
      <x:c r="D98" s="10" t="str">
        <x:f>IF(C98="","",IFERROR(VLOOKUP(C98,'基金信息'!$A$6:$B$200,2,FALSE),"代码未找到"))</x:f>
      </x:c>
      <x:c r="E98" s="11"/>
      <x:c r="F98" s="12"/>
      <x:c r="G98" s="13"/>
      <x:c r="H98" s="13"/>
      <x:c r="I98" s="11"/>
      <x:c r="J98" s="11"/>
      <x:c r="K98" s="10" t="str">
        <x:f t="shared" si="1">IF(A98="","",IF(OR(E98="买入",E98="定投",E98="转换转入"),-(F98+I98),IF(OR(E98="卖出",E98="转换转出"),IF(J98&lt;&gt;"",J98,F98-I98),IF(E98="现金分红",J98,0))))</x:f>
      </x:c>
      <x:c r="L98" s="11"/>
      <x:c r="M98" s="14"/>
    </x:row>
    <x:row r="99" ht="21" customHeight="1">
      <x:c r="A99" s="7"/>
      <x:c r="B99" s="8"/>
      <x:c r="C99" s="9"/>
      <x:c r="D99" s="10" t="str">
        <x:f>IF(C99="","",IFERROR(VLOOKUP(C99,'基金信息'!$A$6:$B$200,2,FALSE),"代码未找到"))</x:f>
      </x:c>
      <x:c r="E99" s="11"/>
      <x:c r="F99" s="12"/>
      <x:c r="G99" s="13"/>
      <x:c r="H99" s="13"/>
      <x:c r="I99" s="11"/>
      <x:c r="J99" s="11"/>
      <x:c r="K99" s="10" t="str">
        <x:f t="shared" si="1">IF(A99="","",IF(OR(E99="买入",E99="定投",E99="转换转入"),-(F99+I99),IF(OR(E99="卖出",E99="转换转出"),IF(J99&lt;&gt;"",J99,F99-I99),IF(E99="现金分红",J99,0))))</x:f>
      </x:c>
      <x:c r="L99" s="11"/>
      <x:c r="M99" s="14"/>
    </x:row>
    <x:row r="100" ht="21" customHeight="1">
      <x:c r="A100" s="7"/>
      <x:c r="B100" s="8"/>
      <x:c r="C100" s="9"/>
      <x:c r="D100" s="10" t="str">
        <x:f>IF(C100="","",IFERROR(VLOOKUP(C100,'基金信息'!$A$6:$B$200,2,FALSE),"代码未找到"))</x:f>
      </x:c>
      <x:c r="E100" s="11"/>
      <x:c r="F100" s="12"/>
      <x:c r="G100" s="13"/>
      <x:c r="H100" s="13"/>
      <x:c r="I100" s="11"/>
      <x:c r="J100" s="11"/>
      <x:c r="K100" s="10" t="str">
        <x:f t="shared" si="1">IF(A100="","",IF(OR(E100="买入",E100="定投",E100="转换转入"),-(F100+I100),IF(OR(E100="卖出",E100="转换转出"),IF(J100&lt;&gt;"",J100,F100-I100),IF(E100="现金分红",J100,0))))</x:f>
      </x:c>
      <x:c r="L100" s="11"/>
      <x:c r="M100" s="14"/>
    </x:row>
    <x:row r="101" ht="21" customHeight="1">
      <x:c r="A101" s="7"/>
      <x:c r="B101" s="8"/>
      <x:c r="C101" s="9"/>
      <x:c r="D101" s="10" t="str">
        <x:f>IF(C101="","",IFERROR(VLOOKUP(C101,'基金信息'!$A$6:$B$200,2,FALSE),"代码未找到"))</x:f>
      </x:c>
      <x:c r="E101" s="11"/>
      <x:c r="F101" s="12"/>
      <x:c r="G101" s="13"/>
      <x:c r="H101" s="13"/>
      <x:c r="I101" s="11"/>
      <x:c r="J101" s="11"/>
      <x:c r="K101" s="10" t="str">
        <x:f t="shared" si="1">IF(A101="","",IF(OR(E101="买入",E101="定投",E101="转换转入"),-(F101+I101),IF(OR(E101="卖出",E101="转换转出"),IF(J101&lt;&gt;"",J101,F101-I101),IF(E101="现金分红",J101,0))))</x:f>
      </x:c>
      <x:c r="L101" s="11"/>
      <x:c r="M101" s="14"/>
    </x:row>
    <x:row r="102" ht="21" customHeight="1">
      <x:c r="A102" s="7"/>
      <x:c r="B102" s="8"/>
      <x:c r="C102" s="9"/>
      <x:c r="D102" s="10" t="str">
        <x:f>IF(C102="","",IFERROR(VLOOKUP(C102,'基金信息'!$A$6:$B$200,2,FALSE),"代码未找到"))</x:f>
      </x:c>
      <x:c r="E102" s="11"/>
      <x:c r="F102" s="12"/>
      <x:c r="G102" s="13"/>
      <x:c r="H102" s="13"/>
      <x:c r="I102" s="11"/>
      <x:c r="J102" s="11"/>
      <x:c r="K102" s="10" t="str">
        <x:f t="shared" si="1">IF(A102="","",IF(OR(E102="买入",E102="定投",E102="转换转入"),-(F102+I102),IF(OR(E102="卖出",E102="转换转出"),IF(J102&lt;&gt;"",J102,F102-I102),IF(E102="现金分红",J102,0))))</x:f>
      </x:c>
      <x:c r="L102" s="11"/>
      <x:c r="M102" s="14"/>
    </x:row>
    <x:row r="103" ht="21" customHeight="1">
      <x:c r="A103" s="7"/>
      <x:c r="B103" s="8"/>
      <x:c r="C103" s="9"/>
      <x:c r="D103" s="10" t="str">
        <x:f>IF(C103="","",IFERROR(VLOOKUP(C103,'基金信息'!$A$6:$B$200,2,FALSE),"代码未找到"))</x:f>
      </x:c>
      <x:c r="E103" s="11"/>
      <x:c r="F103" s="12"/>
      <x:c r="G103" s="13"/>
      <x:c r="H103" s="13"/>
      <x:c r="I103" s="11"/>
      <x:c r="J103" s="11"/>
      <x:c r="K103" s="10" t="str">
        <x:f t="shared" si="1">IF(A103="","",IF(OR(E103="买入",E103="定投",E103="转换转入"),-(F103+I103),IF(OR(E103="卖出",E103="转换转出"),IF(J103&lt;&gt;"",J103,F103-I103),IF(E103="现金分红",J103,0))))</x:f>
      </x:c>
      <x:c r="L103" s="11"/>
      <x:c r="M103" s="14"/>
    </x:row>
    <x:row r="104" ht="21" customHeight="1">
      <x:c r="A104" s="7"/>
      <x:c r="B104" s="8"/>
      <x:c r="C104" s="9"/>
      <x:c r="D104" s="10" t="str">
        <x:f>IF(C104="","",IFERROR(VLOOKUP(C104,'基金信息'!$A$6:$B$200,2,FALSE),"代码未找到"))</x:f>
      </x:c>
      <x:c r="E104" s="11"/>
      <x:c r="F104" s="12"/>
      <x:c r="G104" s="13"/>
      <x:c r="H104" s="13"/>
      <x:c r="I104" s="11"/>
      <x:c r="J104" s="11"/>
      <x:c r="K104" s="10" t="str">
        <x:f t="shared" si="1">IF(A104="","",IF(OR(E104="买入",E104="定投",E104="转换转入"),-(F104+I104),IF(OR(E104="卖出",E104="转换转出"),IF(J104&lt;&gt;"",J104,F104-I104),IF(E104="现金分红",J104,0))))</x:f>
      </x:c>
      <x:c r="L104" s="11"/>
      <x:c r="M104" s="14"/>
    </x:row>
    <x:row r="105" ht="21" customHeight="1">
      <x:c r="A105" s="7"/>
      <x:c r="B105" s="8"/>
      <x:c r="C105" s="9"/>
      <x:c r="D105" s="10" t="str">
        <x:f>IF(C105="","",IFERROR(VLOOKUP(C105,'基金信息'!$A$6:$B$200,2,FALSE),"代码未找到"))</x:f>
      </x:c>
      <x:c r="E105" s="11"/>
      <x:c r="F105" s="12"/>
      <x:c r="G105" s="13"/>
      <x:c r="H105" s="13"/>
      <x:c r="I105" s="11"/>
      <x:c r="J105" s="11"/>
      <x:c r="K105" s="10" t="str">
        <x:f t="shared" si="1">IF(A105="","",IF(OR(E105="买入",E105="定投",E105="转换转入"),-(F105+I105),IF(OR(E105="卖出",E105="转换转出"),IF(J105&lt;&gt;"",J105,F105-I105),IF(E105="现金分红",J105,0))))</x:f>
      </x:c>
      <x:c r="L105" s="11"/>
      <x:c r="M105" s="14"/>
    </x:row>
    <x:row r="106" ht="21" customHeight="1">
      <x:c r="A106" s="7"/>
      <x:c r="B106" s="8"/>
      <x:c r="C106" s="9"/>
      <x:c r="D106" s="10" t="str">
        <x:f>IF(C106="","",IFERROR(VLOOKUP(C106,'基金信息'!$A$6:$B$200,2,FALSE),"代码未找到"))</x:f>
      </x:c>
      <x:c r="E106" s="11"/>
      <x:c r="F106" s="12"/>
      <x:c r="G106" s="13"/>
      <x:c r="H106" s="13"/>
      <x:c r="I106" s="11"/>
      <x:c r="J106" s="11"/>
      <x:c r="K106" s="10" t="str">
        <x:f t="shared" si="1">IF(A106="","",IF(OR(E106="买入",E106="定投",E106="转换转入"),-(F106+I106),IF(OR(E106="卖出",E106="转换转出"),IF(J106&lt;&gt;"",J106,F106-I106),IF(E106="现金分红",J106,0))))</x:f>
      </x:c>
      <x:c r="L106" s="11"/>
      <x:c r="M106" s="14"/>
    </x:row>
    <x:row r="107" ht="21" customHeight="1">
      <x:c r="A107" s="7"/>
      <x:c r="B107" s="8"/>
      <x:c r="C107" s="9"/>
      <x:c r="D107" s="10" t="str">
        <x:f>IF(C107="","",IFERROR(VLOOKUP(C107,'基金信息'!$A$6:$B$200,2,FALSE),"代码未找到"))</x:f>
      </x:c>
      <x:c r="E107" s="11"/>
      <x:c r="F107" s="12"/>
      <x:c r="G107" s="13"/>
      <x:c r="H107" s="13"/>
      <x:c r="I107" s="11"/>
      <x:c r="J107" s="11"/>
      <x:c r="K107" s="10" t="str">
        <x:f t="shared" si="1">IF(A107="","",IF(OR(E107="买入",E107="定投",E107="转换转入"),-(F107+I107),IF(OR(E107="卖出",E107="转换转出"),IF(J107&lt;&gt;"",J107,F107-I107),IF(E107="现金分红",J107,0))))</x:f>
      </x:c>
      <x:c r="L107" s="11"/>
      <x:c r="M107" s="14"/>
    </x:row>
    <x:row r="108" ht="21" customHeight="1">
      <x:c r="A108" s="7"/>
      <x:c r="B108" s="8"/>
      <x:c r="C108" s="9"/>
      <x:c r="D108" s="10" t="str">
        <x:f>IF(C108="","",IFERROR(VLOOKUP(C108,'基金信息'!$A$6:$B$200,2,FALSE),"代码未找到"))</x:f>
      </x:c>
      <x:c r="E108" s="11"/>
      <x:c r="F108" s="12"/>
      <x:c r="G108" s="13"/>
      <x:c r="H108" s="13"/>
      <x:c r="I108" s="11"/>
      <x:c r="J108" s="11"/>
      <x:c r="K108" s="10" t="str">
        <x:f t="shared" si="1">IF(A108="","",IF(OR(E108="买入",E108="定投",E108="转换转入"),-(F108+I108),IF(OR(E108="卖出",E108="转换转出"),IF(J108&lt;&gt;"",J108,F108-I108),IF(E108="现金分红",J108,0))))</x:f>
      </x:c>
      <x:c r="L108" s="11"/>
      <x:c r="M108" s="14"/>
    </x:row>
    <x:row r="109" ht="21" customHeight="1">
      <x:c r="A109" s="7"/>
      <x:c r="B109" s="8"/>
      <x:c r="C109" s="9"/>
      <x:c r="D109" s="10" t="str">
        <x:f>IF(C109="","",IFERROR(VLOOKUP(C109,'基金信息'!$A$6:$B$200,2,FALSE),"代码未找到"))</x:f>
      </x:c>
      <x:c r="E109" s="11"/>
      <x:c r="F109" s="12"/>
      <x:c r="G109" s="13"/>
      <x:c r="H109" s="13"/>
      <x:c r="I109" s="11"/>
      <x:c r="J109" s="11"/>
      <x:c r="K109" s="10" t="str">
        <x:f t="shared" si="1">IF(A109="","",IF(OR(E109="买入",E109="定投",E109="转换转入"),-(F109+I109),IF(OR(E109="卖出",E109="转换转出"),IF(J109&lt;&gt;"",J109,F109-I109),IF(E109="现金分红",J109,0))))</x:f>
      </x:c>
      <x:c r="L109" s="11"/>
      <x:c r="M109" s="14"/>
    </x:row>
    <x:row r="110" ht="21" customHeight="1">
      <x:c r="A110" s="7"/>
      <x:c r="B110" s="8"/>
      <x:c r="C110" s="9"/>
      <x:c r="D110" s="10" t="str">
        <x:f>IF(C110="","",IFERROR(VLOOKUP(C110,'基金信息'!$A$6:$B$200,2,FALSE),"代码未找到"))</x:f>
      </x:c>
      <x:c r="E110" s="11"/>
      <x:c r="F110" s="12"/>
      <x:c r="G110" s="13"/>
      <x:c r="H110" s="13"/>
      <x:c r="I110" s="11"/>
      <x:c r="J110" s="11"/>
      <x:c r="K110" s="10" t="str">
        <x:f t="shared" si="1">IF(A110="","",IF(OR(E110="买入",E110="定投",E110="转换转入"),-(F110+I110),IF(OR(E110="卖出",E110="转换转出"),IF(J110&lt;&gt;"",J110,F110-I110),IF(E110="现金分红",J110,0))))</x:f>
      </x:c>
      <x:c r="L110" s="11"/>
      <x:c r="M110" s="14"/>
    </x:row>
    <x:row r="111" ht="21" customHeight="1">
      <x:c r="A111" s="7"/>
      <x:c r="B111" s="8"/>
      <x:c r="C111" s="9"/>
      <x:c r="D111" s="10" t="str">
        <x:f>IF(C111="","",IFERROR(VLOOKUP(C111,'基金信息'!$A$6:$B$200,2,FALSE),"代码未找到"))</x:f>
      </x:c>
      <x:c r="E111" s="11"/>
      <x:c r="F111" s="12"/>
      <x:c r="G111" s="13"/>
      <x:c r="H111" s="13"/>
      <x:c r="I111" s="11"/>
      <x:c r="J111" s="11"/>
      <x:c r="K111" s="10" t="str">
        <x:f t="shared" si="1">IF(A111="","",IF(OR(E111="买入",E111="定投",E111="转换转入"),-(F111+I111),IF(OR(E111="卖出",E111="转换转出"),IF(J111&lt;&gt;"",J111,F111-I111),IF(E111="现金分红",J111,0))))</x:f>
      </x:c>
      <x:c r="L111" s="11"/>
      <x:c r="M111" s="14"/>
    </x:row>
    <x:row r="112" ht="21" customHeight="1">
      <x:c r="A112" s="7"/>
      <x:c r="B112" s="8"/>
      <x:c r="C112" s="9"/>
      <x:c r="D112" s="10" t="str">
        <x:f>IF(C112="","",IFERROR(VLOOKUP(C112,'基金信息'!$A$6:$B$200,2,FALSE),"代码未找到"))</x:f>
      </x:c>
      <x:c r="E112" s="11"/>
      <x:c r="F112" s="12"/>
      <x:c r="G112" s="13"/>
      <x:c r="H112" s="13"/>
      <x:c r="I112" s="11"/>
      <x:c r="J112" s="11"/>
      <x:c r="K112" s="10" t="str">
        <x:f t="shared" si="1">IF(A112="","",IF(OR(E112="买入",E112="定投",E112="转换转入"),-(F112+I112),IF(OR(E112="卖出",E112="转换转出"),IF(J112&lt;&gt;"",J112,F112-I112),IF(E112="现金分红",J112,0))))</x:f>
      </x:c>
      <x:c r="L112" s="11"/>
      <x:c r="M112" s="14"/>
    </x:row>
    <x:row r="113" ht="21" customHeight="1">
      <x:c r="A113" s="7"/>
      <x:c r="B113" s="8"/>
      <x:c r="C113" s="9"/>
      <x:c r="D113" s="10" t="str">
        <x:f>IF(C113="","",IFERROR(VLOOKUP(C113,'基金信息'!$A$6:$B$200,2,FALSE),"代码未找到"))</x:f>
      </x:c>
      <x:c r="E113" s="11"/>
      <x:c r="F113" s="12"/>
      <x:c r="G113" s="13"/>
      <x:c r="H113" s="13"/>
      <x:c r="I113" s="11"/>
      <x:c r="J113" s="11"/>
      <x:c r="K113" s="10" t="str">
        <x:f t="shared" si="1">IF(A113="","",IF(OR(E113="买入",E113="定投",E113="转换转入"),-(F113+I113),IF(OR(E113="卖出",E113="转换转出"),IF(J113&lt;&gt;"",J113,F113-I113),IF(E113="现金分红",J113,0))))</x:f>
      </x:c>
      <x:c r="L113" s="11"/>
      <x:c r="M113" s="14"/>
    </x:row>
    <x:row r="114" ht="21" customHeight="1">
      <x:c r="A114" s="7"/>
      <x:c r="B114" s="8"/>
      <x:c r="C114" s="9"/>
      <x:c r="D114" s="10" t="str">
        <x:f>IF(C114="","",IFERROR(VLOOKUP(C114,'基金信息'!$A$6:$B$200,2,FALSE),"代码未找到"))</x:f>
      </x:c>
      <x:c r="E114" s="11"/>
      <x:c r="F114" s="12"/>
      <x:c r="G114" s="13"/>
      <x:c r="H114" s="13"/>
      <x:c r="I114" s="11"/>
      <x:c r="J114" s="11"/>
      <x:c r="K114" s="10" t="str">
        <x:f t="shared" si="1">IF(A114="","",IF(OR(E114="买入",E114="定投",E114="转换转入"),-(F114+I114),IF(OR(E114="卖出",E114="转换转出"),IF(J114&lt;&gt;"",J114,F114-I114),IF(E114="现金分红",J114,0))))</x:f>
      </x:c>
      <x:c r="L114" s="11"/>
      <x:c r="M114" s="14"/>
    </x:row>
    <x:row r="115" ht="21" customHeight="1">
      <x:c r="A115" s="7"/>
      <x:c r="B115" s="8"/>
      <x:c r="C115" s="9"/>
      <x:c r="D115" s="10" t="str">
        <x:f>IF(C115="","",IFERROR(VLOOKUP(C115,'基金信息'!$A$6:$B$200,2,FALSE),"代码未找到"))</x:f>
      </x:c>
      <x:c r="E115" s="11"/>
      <x:c r="F115" s="12"/>
      <x:c r="G115" s="13"/>
      <x:c r="H115" s="13"/>
      <x:c r="I115" s="11"/>
      <x:c r="J115" s="11"/>
      <x:c r="K115" s="10" t="str">
        <x:f t="shared" si="1">IF(A115="","",IF(OR(E115="买入",E115="定投",E115="转换转入"),-(F115+I115),IF(OR(E115="卖出",E115="转换转出"),IF(J115&lt;&gt;"",J115,F115-I115),IF(E115="现金分红",J115,0))))</x:f>
      </x:c>
      <x:c r="L115" s="11"/>
      <x:c r="M115" s="14"/>
    </x:row>
    <x:row r="116" ht="21" customHeight="1">
      <x:c r="A116" s="7"/>
      <x:c r="B116" s="8"/>
      <x:c r="C116" s="9"/>
      <x:c r="D116" s="10" t="str">
        <x:f>IF(C116="","",IFERROR(VLOOKUP(C116,'基金信息'!$A$6:$B$200,2,FALSE),"代码未找到"))</x:f>
      </x:c>
      <x:c r="E116" s="11"/>
      <x:c r="F116" s="12"/>
      <x:c r="G116" s="13"/>
      <x:c r="H116" s="13"/>
      <x:c r="I116" s="11"/>
      <x:c r="J116" s="11"/>
      <x:c r="K116" s="10" t="str">
        <x:f t="shared" si="1">IF(A116="","",IF(OR(E116="买入",E116="定投",E116="转换转入"),-(F116+I116),IF(OR(E116="卖出",E116="转换转出"),IF(J116&lt;&gt;"",J116,F116-I116),IF(E116="现金分红",J116,0))))</x:f>
      </x:c>
      <x:c r="L116" s="11"/>
      <x:c r="M116" s="14"/>
    </x:row>
    <x:row r="117" ht="21" customHeight="1">
      <x:c r="A117" s="7"/>
      <x:c r="B117" s="8"/>
      <x:c r="C117" s="9"/>
      <x:c r="D117" s="10" t="str">
        <x:f>IF(C117="","",IFERROR(VLOOKUP(C117,'基金信息'!$A$6:$B$200,2,FALSE),"代码未找到"))</x:f>
      </x:c>
      <x:c r="E117" s="11"/>
      <x:c r="F117" s="12"/>
      <x:c r="G117" s="13"/>
      <x:c r="H117" s="13"/>
      <x:c r="I117" s="11"/>
      <x:c r="J117" s="11"/>
      <x:c r="K117" s="10" t="str">
        <x:f t="shared" si="1">IF(A117="","",IF(OR(E117="买入",E117="定投",E117="转换转入"),-(F117+I117),IF(OR(E117="卖出",E117="转换转出"),IF(J117&lt;&gt;"",J117,F117-I117),IF(E117="现金分红",J117,0))))</x:f>
      </x:c>
      <x:c r="L117" s="11"/>
      <x:c r="M117" s="14"/>
    </x:row>
    <x:row r="118" ht="21" customHeight="1">
      <x:c r="A118" s="7"/>
      <x:c r="B118" s="8"/>
      <x:c r="C118" s="9"/>
      <x:c r="D118" s="10" t="str">
        <x:f>IF(C118="","",IFERROR(VLOOKUP(C118,'基金信息'!$A$6:$B$200,2,FALSE),"代码未找到"))</x:f>
      </x:c>
      <x:c r="E118" s="11"/>
      <x:c r="F118" s="12"/>
      <x:c r="G118" s="13"/>
      <x:c r="H118" s="13"/>
      <x:c r="I118" s="11"/>
      <x:c r="J118" s="11"/>
      <x:c r="K118" s="10" t="str">
        <x:f t="shared" si="1">IF(A118="","",IF(OR(E118="买入",E118="定投",E118="转换转入"),-(F118+I118),IF(OR(E118="卖出",E118="转换转出"),IF(J118&lt;&gt;"",J118,F118-I118),IF(E118="现金分红",J118,0))))</x:f>
      </x:c>
      <x:c r="L118" s="11"/>
      <x:c r="M118" s="14"/>
    </x:row>
    <x:row r="119" ht="21" customHeight="1">
      <x:c r="A119" s="7"/>
      <x:c r="B119" s="8"/>
      <x:c r="C119" s="9"/>
      <x:c r="D119" s="10" t="str">
        <x:f>IF(C119="","",IFERROR(VLOOKUP(C119,'基金信息'!$A$6:$B$200,2,FALSE),"代码未找到"))</x:f>
      </x:c>
      <x:c r="E119" s="11"/>
      <x:c r="F119" s="12"/>
      <x:c r="G119" s="13"/>
      <x:c r="H119" s="13"/>
      <x:c r="I119" s="11"/>
      <x:c r="J119" s="11"/>
      <x:c r="K119" s="10" t="str">
        <x:f t="shared" si="1">IF(A119="","",IF(OR(E119="买入",E119="定投",E119="转换转入"),-(F119+I119),IF(OR(E119="卖出",E119="转换转出"),IF(J119&lt;&gt;"",J119,F119-I119),IF(E119="现金分红",J119,0))))</x:f>
      </x:c>
      <x:c r="L119" s="11"/>
      <x:c r="M119" s="14"/>
    </x:row>
    <x:row r="120" ht="21" customHeight="1">
      <x:c r="A120" s="7"/>
      <x:c r="B120" s="8"/>
      <x:c r="C120" s="9"/>
      <x:c r="D120" s="10" t="str">
        <x:f>IF(C120="","",IFERROR(VLOOKUP(C120,'基金信息'!$A$6:$B$200,2,FALSE),"代码未找到"))</x:f>
      </x:c>
      <x:c r="E120" s="11"/>
      <x:c r="F120" s="12"/>
      <x:c r="G120" s="13"/>
      <x:c r="H120" s="13"/>
      <x:c r="I120" s="11"/>
      <x:c r="J120" s="11"/>
      <x:c r="K120" s="10" t="str">
        <x:f t="shared" si="1">IF(A120="","",IF(OR(E120="买入",E120="定投",E120="转换转入"),-(F120+I120),IF(OR(E120="卖出",E120="转换转出"),IF(J120&lt;&gt;"",J120,F120-I120),IF(E120="现金分红",J120,0))))</x:f>
      </x:c>
      <x:c r="L120" s="11"/>
      <x:c r="M120" s="14"/>
    </x:row>
    <x:row r="121" ht="21" customHeight="1">
      <x:c r="A121" s="7"/>
      <x:c r="B121" s="8"/>
      <x:c r="C121" s="9"/>
      <x:c r="D121" s="10" t="str">
        <x:f>IF(C121="","",IFERROR(VLOOKUP(C121,'基金信息'!$A$6:$B$200,2,FALSE),"代码未找到"))</x:f>
      </x:c>
      <x:c r="E121" s="11"/>
      <x:c r="F121" s="12"/>
      <x:c r="G121" s="13"/>
      <x:c r="H121" s="13"/>
      <x:c r="I121" s="11"/>
      <x:c r="J121" s="11"/>
      <x:c r="K121" s="10" t="str">
        <x:f t="shared" si="1">IF(A121="","",IF(OR(E121="买入",E121="定投",E121="转换转入"),-(F121+I121),IF(OR(E121="卖出",E121="转换转出"),IF(J121&lt;&gt;"",J121,F121-I121),IF(E121="现金分红",J121,0))))</x:f>
      </x:c>
      <x:c r="L121" s="11"/>
      <x:c r="M121" s="14"/>
    </x:row>
    <x:row r="122" ht="21" customHeight="1">
      <x:c r="A122" s="7"/>
      <x:c r="B122" s="8"/>
      <x:c r="C122" s="9"/>
      <x:c r="D122" s="10" t="str">
        <x:f>IF(C122="","",IFERROR(VLOOKUP(C122,'基金信息'!$A$6:$B$200,2,FALSE),"代码未找到"))</x:f>
      </x:c>
      <x:c r="E122" s="11"/>
      <x:c r="F122" s="12"/>
      <x:c r="G122" s="13"/>
      <x:c r="H122" s="13"/>
      <x:c r="I122" s="11"/>
      <x:c r="J122" s="11"/>
      <x:c r="K122" s="10" t="str">
        <x:f t="shared" si="1">IF(A122="","",IF(OR(E122="买入",E122="定投",E122="转换转入"),-(F122+I122),IF(OR(E122="卖出",E122="转换转出"),IF(J122&lt;&gt;"",J122,F122-I122),IF(E122="现金分红",J122,0))))</x:f>
      </x:c>
      <x:c r="L122" s="11"/>
      <x:c r="M122" s="14"/>
    </x:row>
    <x:row r="123" ht="21" customHeight="1">
      <x:c r="A123" s="7"/>
      <x:c r="B123" s="8"/>
      <x:c r="C123" s="9"/>
      <x:c r="D123" s="10" t="str">
        <x:f>IF(C123="","",IFERROR(VLOOKUP(C123,'基金信息'!$A$6:$B$200,2,FALSE),"代码未找到"))</x:f>
      </x:c>
      <x:c r="E123" s="11"/>
      <x:c r="F123" s="12"/>
      <x:c r="G123" s="13"/>
      <x:c r="H123" s="13"/>
      <x:c r="I123" s="11"/>
      <x:c r="J123" s="11"/>
      <x:c r="K123" s="10" t="str">
        <x:f t="shared" si="1">IF(A123="","",IF(OR(E123="买入",E123="定投",E123="转换转入"),-(F123+I123),IF(OR(E123="卖出",E123="转换转出"),IF(J123&lt;&gt;"",J123,F123-I123),IF(E123="现金分红",J123,0))))</x:f>
      </x:c>
      <x:c r="L123" s="11"/>
      <x:c r="M123" s="14"/>
    </x:row>
    <x:row r="124" ht="21" customHeight="1">
      <x:c r="A124" s="7"/>
      <x:c r="B124" s="8"/>
      <x:c r="C124" s="9"/>
      <x:c r="D124" s="10" t="str">
        <x:f>IF(C124="","",IFERROR(VLOOKUP(C124,'基金信息'!$A$6:$B$200,2,FALSE),"代码未找到"))</x:f>
      </x:c>
      <x:c r="E124" s="11"/>
      <x:c r="F124" s="12"/>
      <x:c r="G124" s="13"/>
      <x:c r="H124" s="13"/>
      <x:c r="I124" s="11"/>
      <x:c r="J124" s="11"/>
      <x:c r="K124" s="10" t="str">
        <x:f t="shared" si="1">IF(A124="","",IF(OR(E124="买入",E124="定投",E124="转换转入"),-(F124+I124),IF(OR(E124="卖出",E124="转换转出"),IF(J124&lt;&gt;"",J124,F124-I124),IF(E124="现金分红",J124,0))))</x:f>
      </x:c>
      <x:c r="L124" s="11"/>
      <x:c r="M124" s="14"/>
    </x:row>
    <x:row r="125" ht="21" customHeight="1">
      <x:c r="A125" s="7"/>
      <x:c r="B125" s="8"/>
      <x:c r="C125" s="9"/>
      <x:c r="D125" s="10" t="str">
        <x:f>IF(C125="","",IFERROR(VLOOKUP(C125,'基金信息'!$A$6:$B$200,2,FALSE),"代码未找到"))</x:f>
      </x:c>
      <x:c r="E125" s="11"/>
      <x:c r="F125" s="12"/>
      <x:c r="G125" s="13"/>
      <x:c r="H125" s="13"/>
      <x:c r="I125" s="11"/>
      <x:c r="J125" s="11"/>
      <x:c r="K125" s="10" t="str">
        <x:f t="shared" si="1">IF(A125="","",IF(OR(E125="买入",E125="定投",E125="转换转入"),-(F125+I125),IF(OR(E125="卖出",E125="转换转出"),IF(J125&lt;&gt;"",J125,F125-I125),IF(E125="现金分红",J125,0))))</x:f>
      </x:c>
      <x:c r="L125" s="11"/>
      <x:c r="M125" s="14"/>
    </x:row>
    <x:row r="126" ht="21" customHeight="1">
      <x:c r="A126" s="7"/>
      <x:c r="B126" s="8"/>
      <x:c r="C126" s="9"/>
      <x:c r="D126" s="10" t="str">
        <x:f>IF(C126="","",IFERROR(VLOOKUP(C126,'基金信息'!$A$6:$B$200,2,FALSE),"代码未找到"))</x:f>
      </x:c>
      <x:c r="E126" s="11"/>
      <x:c r="F126" s="12"/>
      <x:c r="G126" s="13"/>
      <x:c r="H126" s="13"/>
      <x:c r="I126" s="11"/>
      <x:c r="J126" s="11"/>
      <x:c r="K126" s="10" t="str">
        <x:f t="shared" si="1">IF(A126="","",IF(OR(E126="买入",E126="定投",E126="转换转入"),-(F126+I126),IF(OR(E126="卖出",E126="转换转出"),IF(J126&lt;&gt;"",J126,F126-I126),IF(E126="现金分红",J126,0))))</x:f>
      </x:c>
      <x:c r="L126" s="11"/>
      <x:c r="M126" s="14"/>
    </x:row>
    <x:row r="127" ht="21" customHeight="1">
      <x:c r="A127" s="7"/>
      <x:c r="B127" s="8"/>
      <x:c r="C127" s="9"/>
      <x:c r="D127" s="10" t="str">
        <x:f>IF(C127="","",IFERROR(VLOOKUP(C127,'基金信息'!$A$6:$B$200,2,FALSE),"代码未找到"))</x:f>
      </x:c>
      <x:c r="E127" s="11"/>
      <x:c r="F127" s="12"/>
      <x:c r="G127" s="13"/>
      <x:c r="H127" s="13"/>
      <x:c r="I127" s="11"/>
      <x:c r="J127" s="11"/>
      <x:c r="K127" s="10" t="str">
        <x:f t="shared" si="1">IF(A127="","",IF(OR(E127="买入",E127="定投",E127="转换转入"),-(F127+I127),IF(OR(E127="卖出",E127="转换转出"),IF(J127&lt;&gt;"",J127,F127-I127),IF(E127="现金分红",J127,0))))</x:f>
      </x:c>
      <x:c r="L127" s="11"/>
      <x:c r="M127" s="14"/>
    </x:row>
    <x:row r="128" ht="21" customHeight="1">
      <x:c r="A128" s="7"/>
      <x:c r="B128" s="8"/>
      <x:c r="C128" s="9"/>
      <x:c r="D128" s="10" t="str">
        <x:f>IF(C128="","",IFERROR(VLOOKUP(C128,'基金信息'!$A$6:$B$200,2,FALSE),"代码未找到"))</x:f>
      </x:c>
      <x:c r="E128" s="11"/>
      <x:c r="F128" s="12"/>
      <x:c r="G128" s="13"/>
      <x:c r="H128" s="13"/>
      <x:c r="I128" s="11"/>
      <x:c r="J128" s="11"/>
      <x:c r="K128" s="10" t="str">
        <x:f t="shared" si="1">IF(A128="","",IF(OR(E128="买入",E128="定投",E128="转换转入"),-(F128+I128),IF(OR(E128="卖出",E128="转换转出"),IF(J128&lt;&gt;"",J128,F128-I128),IF(E128="现金分红",J128,0))))</x:f>
      </x:c>
      <x:c r="L128" s="11"/>
      <x:c r="M128" s="14"/>
    </x:row>
    <x:row r="129" ht="21" customHeight="1">
      <x:c r="A129" s="7"/>
      <x:c r="B129" s="8"/>
      <x:c r="C129" s="9"/>
      <x:c r="D129" s="10" t="str">
        <x:f>IF(C129="","",IFERROR(VLOOKUP(C129,'基金信息'!$A$6:$B$200,2,FALSE),"代码未找到"))</x:f>
      </x:c>
      <x:c r="E129" s="11"/>
      <x:c r="F129" s="12"/>
      <x:c r="G129" s="13"/>
      <x:c r="H129" s="13"/>
      <x:c r="I129" s="11"/>
      <x:c r="J129" s="11"/>
      <x:c r="K129" s="10" t="str">
        <x:f t="shared" si="1">IF(A129="","",IF(OR(E129="买入",E129="定投",E129="转换转入"),-(F129+I129),IF(OR(E129="卖出",E129="转换转出"),IF(J129&lt;&gt;"",J129,F129-I129),IF(E129="现金分红",J129,0))))</x:f>
      </x:c>
      <x:c r="L129" s="11"/>
      <x:c r="M129" s="14"/>
    </x:row>
    <x:row r="130" ht="21" customHeight="1">
      <x:c r="A130" s="7"/>
      <x:c r="B130" s="8"/>
      <x:c r="C130" s="9"/>
      <x:c r="D130" s="10" t="str">
        <x:f>IF(C130="","",IFERROR(VLOOKUP(C130,'基金信息'!$A$6:$B$200,2,FALSE),"代码未找到"))</x:f>
      </x:c>
      <x:c r="E130" s="11"/>
      <x:c r="F130" s="12"/>
      <x:c r="G130" s="13"/>
      <x:c r="H130" s="13"/>
      <x:c r="I130" s="11"/>
      <x:c r="J130" s="11"/>
      <x:c r="K130" s="10" t="str">
        <x:f t="shared" si="1">IF(A130="","",IF(OR(E130="买入",E130="定投",E130="转换转入"),-(F130+I130),IF(OR(E130="卖出",E130="转换转出"),IF(J130&lt;&gt;"",J130,F130-I130),IF(E130="现金分红",J130,0))))</x:f>
      </x:c>
      <x:c r="L130" s="11"/>
      <x:c r="M130" s="14"/>
    </x:row>
    <x:row r="131" ht="21" customHeight="1">
      <x:c r="A131" s="7"/>
      <x:c r="B131" s="8"/>
      <x:c r="C131" s="9"/>
      <x:c r="D131" s="10" t="str">
        <x:f>IF(C131="","",IFERROR(VLOOKUP(C131,'基金信息'!$A$6:$B$200,2,FALSE),"代码未找到"))</x:f>
      </x:c>
      <x:c r="E131" s="11"/>
      <x:c r="F131" s="12"/>
      <x:c r="G131" s="13"/>
      <x:c r="H131" s="13"/>
      <x:c r="I131" s="11"/>
      <x:c r="J131" s="11"/>
      <x:c r="K131" s="10" t="str">
        <x:f t="shared" si="1">IF(A131="","",IF(OR(E131="买入",E131="定投",E131="转换转入"),-(F131+I131),IF(OR(E131="卖出",E131="转换转出"),IF(J131&lt;&gt;"",J131,F131-I131),IF(E131="现金分红",J131,0))))</x:f>
      </x:c>
      <x:c r="L131" s="11"/>
      <x:c r="M131" s="14"/>
    </x:row>
    <x:row r="132" ht="21" customHeight="1">
      <x:c r="A132" s="7"/>
      <x:c r="B132" s="8"/>
      <x:c r="C132" s="9"/>
      <x:c r="D132" s="10" t="str">
        <x:f>IF(C132="","",IFERROR(VLOOKUP(C132,'基金信息'!$A$6:$B$200,2,FALSE),"代码未找到"))</x:f>
      </x:c>
      <x:c r="E132" s="11"/>
      <x:c r="F132" s="12"/>
      <x:c r="G132" s="13"/>
      <x:c r="H132" s="13"/>
      <x:c r="I132" s="11"/>
      <x:c r="J132" s="11"/>
      <x:c r="K132" s="10" t="str">
        <x:f t="shared" si="1">IF(A132="","",IF(OR(E132="买入",E132="定投",E132="转换转入"),-(F132+I132),IF(OR(E132="卖出",E132="转换转出"),IF(J132&lt;&gt;"",J132,F132-I132),IF(E132="现金分红",J132,0))))</x:f>
      </x:c>
      <x:c r="L132" s="11"/>
      <x:c r="M132" s="14"/>
    </x:row>
    <x:row r="133" ht="21" customHeight="1">
      <x:c r="A133" s="7"/>
      <x:c r="B133" s="8"/>
      <x:c r="C133" s="9"/>
      <x:c r="D133" s="10" t="str">
        <x:f>IF(C133="","",IFERROR(VLOOKUP(C133,'基金信息'!$A$6:$B$200,2,FALSE),"代码未找到"))</x:f>
      </x:c>
      <x:c r="E133" s="11"/>
      <x:c r="F133" s="12"/>
      <x:c r="G133" s="13"/>
      <x:c r="H133" s="13"/>
      <x:c r="I133" s="11"/>
      <x:c r="J133" s="11"/>
      <x:c r="K133" s="10" t="str">
        <x:f t="shared" ref="K133:K196" si="2">IF(A133="","",IF(OR(E133="买入",E133="定投",E133="转换转入"),-(F133+I133),IF(OR(E133="卖出",E133="转换转出"),IF(J133&lt;&gt;"",J133,F133-I133),IF(E133="现金分红",J133,0))))</x:f>
      </x:c>
      <x:c r="L133" s="11"/>
      <x:c r="M133" s="14"/>
    </x:row>
    <x:row r="134" ht="21" customHeight="1">
      <x:c r="A134" s="7"/>
      <x:c r="B134" s="8"/>
      <x:c r="C134" s="9"/>
      <x:c r="D134" s="10" t="str">
        <x:f>IF(C134="","",IFERROR(VLOOKUP(C134,'基金信息'!$A$6:$B$200,2,FALSE),"代码未找到"))</x:f>
      </x:c>
      <x:c r="E134" s="11"/>
      <x:c r="F134" s="12"/>
      <x:c r="G134" s="13"/>
      <x:c r="H134" s="13"/>
      <x:c r="I134" s="11"/>
      <x:c r="J134" s="11"/>
      <x:c r="K134" s="10" t="str">
        <x:f t="shared" si="2">IF(A134="","",IF(OR(E134="买入",E134="定投",E134="转换转入"),-(F134+I134),IF(OR(E134="卖出",E134="转换转出"),IF(J134&lt;&gt;"",J134,F134-I134),IF(E134="现金分红",J134,0))))</x:f>
      </x:c>
      <x:c r="L134" s="11"/>
      <x:c r="M134" s="14"/>
    </x:row>
    <x:row r="135" ht="21" customHeight="1">
      <x:c r="A135" s="7"/>
      <x:c r="B135" s="8"/>
      <x:c r="C135" s="9"/>
      <x:c r="D135" s="10" t="str">
        <x:f>IF(C135="","",IFERROR(VLOOKUP(C135,'基金信息'!$A$6:$B$200,2,FALSE),"代码未找到"))</x:f>
      </x:c>
      <x:c r="E135" s="11"/>
      <x:c r="F135" s="12"/>
      <x:c r="G135" s="13"/>
      <x:c r="H135" s="13"/>
      <x:c r="I135" s="11"/>
      <x:c r="J135" s="11"/>
      <x:c r="K135" s="10" t="str">
        <x:f t="shared" si="2">IF(A135="","",IF(OR(E135="买入",E135="定投",E135="转换转入"),-(F135+I135),IF(OR(E135="卖出",E135="转换转出"),IF(J135&lt;&gt;"",J135,F135-I135),IF(E135="现金分红",J135,0))))</x:f>
      </x:c>
      <x:c r="L135" s="11"/>
      <x:c r="M135" s="14"/>
    </x:row>
    <x:row r="136" ht="21" customHeight="1">
      <x:c r="A136" s="7"/>
      <x:c r="B136" s="8"/>
      <x:c r="C136" s="9"/>
      <x:c r="D136" s="10" t="str">
        <x:f>IF(C136="","",IFERROR(VLOOKUP(C136,'基金信息'!$A$6:$B$200,2,FALSE),"代码未找到"))</x:f>
      </x:c>
      <x:c r="E136" s="11"/>
      <x:c r="F136" s="12"/>
      <x:c r="G136" s="13"/>
      <x:c r="H136" s="13"/>
      <x:c r="I136" s="11"/>
      <x:c r="J136" s="11"/>
      <x:c r="K136" s="10" t="str">
        <x:f t="shared" si="2">IF(A136="","",IF(OR(E136="买入",E136="定投",E136="转换转入"),-(F136+I136),IF(OR(E136="卖出",E136="转换转出"),IF(J136&lt;&gt;"",J136,F136-I136),IF(E136="现金分红",J136,0))))</x:f>
      </x:c>
      <x:c r="L136" s="11"/>
      <x:c r="M136" s="14"/>
    </x:row>
    <x:row r="137" ht="21" customHeight="1">
      <x:c r="A137" s="7"/>
      <x:c r="B137" s="8"/>
      <x:c r="C137" s="9"/>
      <x:c r="D137" s="10" t="str">
        <x:f>IF(C137="","",IFERROR(VLOOKUP(C137,'基金信息'!$A$6:$B$200,2,FALSE),"代码未找到"))</x:f>
      </x:c>
      <x:c r="E137" s="11"/>
      <x:c r="F137" s="12"/>
      <x:c r="G137" s="13"/>
      <x:c r="H137" s="13"/>
      <x:c r="I137" s="11"/>
      <x:c r="J137" s="11"/>
      <x:c r="K137" s="10" t="str">
        <x:f t="shared" si="2">IF(A137="","",IF(OR(E137="买入",E137="定投",E137="转换转入"),-(F137+I137),IF(OR(E137="卖出",E137="转换转出"),IF(J137&lt;&gt;"",J137,F137-I137),IF(E137="现金分红",J137,0))))</x:f>
      </x:c>
      <x:c r="L137" s="11"/>
      <x:c r="M137" s="14"/>
    </x:row>
    <x:row r="138" ht="21" customHeight="1">
      <x:c r="A138" s="7"/>
      <x:c r="B138" s="8"/>
      <x:c r="C138" s="9"/>
      <x:c r="D138" s="10" t="str">
        <x:f>IF(C138="","",IFERROR(VLOOKUP(C138,'基金信息'!$A$6:$B$200,2,FALSE),"代码未找到"))</x:f>
      </x:c>
      <x:c r="E138" s="11"/>
      <x:c r="F138" s="12"/>
      <x:c r="G138" s="13"/>
      <x:c r="H138" s="13"/>
      <x:c r="I138" s="11"/>
      <x:c r="J138" s="11"/>
      <x:c r="K138" s="10" t="str">
        <x:f t="shared" si="2">IF(A138="","",IF(OR(E138="买入",E138="定投",E138="转换转入"),-(F138+I138),IF(OR(E138="卖出",E138="转换转出"),IF(J138&lt;&gt;"",J138,F138-I138),IF(E138="现金分红",J138,0))))</x:f>
      </x:c>
      <x:c r="L138" s="11"/>
      <x:c r="M138" s="14"/>
    </x:row>
    <x:row r="139" ht="21" customHeight="1">
      <x:c r="A139" s="7"/>
      <x:c r="B139" s="8"/>
      <x:c r="C139" s="9"/>
      <x:c r="D139" s="10" t="str">
        <x:f>IF(C139="","",IFERROR(VLOOKUP(C139,'基金信息'!$A$6:$B$200,2,FALSE),"代码未找到"))</x:f>
      </x:c>
      <x:c r="E139" s="11"/>
      <x:c r="F139" s="12"/>
      <x:c r="G139" s="13"/>
      <x:c r="H139" s="13"/>
      <x:c r="I139" s="11"/>
      <x:c r="J139" s="11"/>
      <x:c r="K139" s="10" t="str">
        <x:f t="shared" si="2">IF(A139="","",IF(OR(E139="买入",E139="定投",E139="转换转入"),-(F139+I139),IF(OR(E139="卖出",E139="转换转出"),IF(J139&lt;&gt;"",J139,F139-I139),IF(E139="现金分红",J139,0))))</x:f>
      </x:c>
      <x:c r="L139" s="11"/>
      <x:c r="M139" s="14"/>
    </x:row>
    <x:row r="140" ht="21" customHeight="1">
      <x:c r="A140" s="7"/>
      <x:c r="B140" s="8"/>
      <x:c r="C140" s="9"/>
      <x:c r="D140" s="10" t="str">
        <x:f>IF(C140="","",IFERROR(VLOOKUP(C140,'基金信息'!$A$6:$B$200,2,FALSE),"代码未找到"))</x:f>
      </x:c>
      <x:c r="E140" s="11"/>
      <x:c r="F140" s="12"/>
      <x:c r="G140" s="13"/>
      <x:c r="H140" s="13"/>
      <x:c r="I140" s="11"/>
      <x:c r="J140" s="11"/>
      <x:c r="K140" s="10" t="str">
        <x:f t="shared" si="2">IF(A140="","",IF(OR(E140="买入",E140="定投",E140="转换转入"),-(F140+I140),IF(OR(E140="卖出",E140="转换转出"),IF(J140&lt;&gt;"",J140,F140-I140),IF(E140="现金分红",J140,0))))</x:f>
      </x:c>
      <x:c r="L140" s="11"/>
      <x:c r="M140" s="14"/>
    </x:row>
    <x:row r="141" ht="21" customHeight="1">
      <x:c r="A141" s="7"/>
      <x:c r="B141" s="8"/>
      <x:c r="C141" s="9"/>
      <x:c r="D141" s="10" t="str">
        <x:f>IF(C141="","",IFERROR(VLOOKUP(C141,'基金信息'!$A$6:$B$200,2,FALSE),"代码未找到"))</x:f>
      </x:c>
      <x:c r="E141" s="11"/>
      <x:c r="F141" s="12"/>
      <x:c r="G141" s="13"/>
      <x:c r="H141" s="13"/>
      <x:c r="I141" s="11"/>
      <x:c r="J141" s="11"/>
      <x:c r="K141" s="10" t="str">
        <x:f t="shared" si="2">IF(A141="","",IF(OR(E141="买入",E141="定投",E141="转换转入"),-(F141+I141),IF(OR(E141="卖出",E141="转换转出"),IF(J141&lt;&gt;"",J141,F141-I141),IF(E141="现金分红",J141,0))))</x:f>
      </x:c>
      <x:c r="L141" s="11"/>
      <x:c r="M141" s="14"/>
    </x:row>
    <x:row r="142" ht="21" customHeight="1">
      <x:c r="A142" s="7"/>
      <x:c r="B142" s="8"/>
      <x:c r="C142" s="9"/>
      <x:c r="D142" s="10" t="str">
        <x:f>IF(C142="","",IFERROR(VLOOKUP(C142,'基金信息'!$A$6:$B$200,2,FALSE),"代码未找到"))</x:f>
      </x:c>
      <x:c r="E142" s="11"/>
      <x:c r="F142" s="12"/>
      <x:c r="G142" s="13"/>
      <x:c r="H142" s="13"/>
      <x:c r="I142" s="11"/>
      <x:c r="J142" s="11"/>
      <x:c r="K142" s="10" t="str">
        <x:f t="shared" si="2">IF(A142="","",IF(OR(E142="买入",E142="定投",E142="转换转入"),-(F142+I142),IF(OR(E142="卖出",E142="转换转出"),IF(J142&lt;&gt;"",J142,F142-I142),IF(E142="现金分红",J142,0))))</x:f>
      </x:c>
      <x:c r="L142" s="11"/>
      <x:c r="M142" s="14"/>
    </x:row>
    <x:row r="143" ht="21" customHeight="1">
      <x:c r="A143" s="7"/>
      <x:c r="B143" s="8"/>
      <x:c r="C143" s="9"/>
      <x:c r="D143" s="10" t="str">
        <x:f>IF(C143="","",IFERROR(VLOOKUP(C143,'基金信息'!$A$6:$B$200,2,FALSE),"代码未找到"))</x:f>
      </x:c>
      <x:c r="E143" s="11"/>
      <x:c r="F143" s="12"/>
      <x:c r="G143" s="13"/>
      <x:c r="H143" s="13"/>
      <x:c r="I143" s="11"/>
      <x:c r="J143" s="11"/>
      <x:c r="K143" s="10" t="str">
        <x:f t="shared" si="2">IF(A143="","",IF(OR(E143="买入",E143="定投",E143="转换转入"),-(F143+I143),IF(OR(E143="卖出",E143="转换转出"),IF(J143&lt;&gt;"",J143,F143-I143),IF(E143="现金分红",J143,0))))</x:f>
      </x:c>
      <x:c r="L143" s="11"/>
      <x:c r="M143" s="14"/>
    </x:row>
    <x:row r="144" ht="21" customHeight="1">
      <x:c r="A144" s="7"/>
      <x:c r="B144" s="8"/>
      <x:c r="C144" s="9"/>
      <x:c r="D144" s="10" t="str">
        <x:f>IF(C144="","",IFERROR(VLOOKUP(C144,'基金信息'!$A$6:$B$200,2,FALSE),"代码未找到"))</x:f>
      </x:c>
      <x:c r="E144" s="11"/>
      <x:c r="F144" s="12"/>
      <x:c r="G144" s="13"/>
      <x:c r="H144" s="13"/>
      <x:c r="I144" s="11"/>
      <x:c r="J144" s="11"/>
      <x:c r="K144" s="10" t="str">
        <x:f t="shared" si="2">IF(A144="","",IF(OR(E144="买入",E144="定投",E144="转换转入"),-(F144+I144),IF(OR(E144="卖出",E144="转换转出"),IF(J144&lt;&gt;"",J144,F144-I144),IF(E144="现金分红",J144,0))))</x:f>
      </x:c>
      <x:c r="L144" s="11"/>
      <x:c r="M144" s="14"/>
    </x:row>
    <x:row r="145" ht="21" customHeight="1">
      <x:c r="A145" s="7"/>
      <x:c r="B145" s="8"/>
      <x:c r="C145" s="9"/>
      <x:c r="D145" s="10" t="str">
        <x:f>IF(C145="","",IFERROR(VLOOKUP(C145,'基金信息'!$A$6:$B$200,2,FALSE),"代码未找到"))</x:f>
      </x:c>
      <x:c r="E145" s="11"/>
      <x:c r="F145" s="12"/>
      <x:c r="G145" s="13"/>
      <x:c r="H145" s="13"/>
      <x:c r="I145" s="11"/>
      <x:c r="J145" s="11"/>
      <x:c r="K145" s="10" t="str">
        <x:f t="shared" si="2">IF(A145="","",IF(OR(E145="买入",E145="定投",E145="转换转入"),-(F145+I145),IF(OR(E145="卖出",E145="转换转出"),IF(J145&lt;&gt;"",J145,F145-I145),IF(E145="现金分红",J145,0))))</x:f>
      </x:c>
      <x:c r="L145" s="11"/>
      <x:c r="M145" s="14"/>
    </x:row>
    <x:row r="146" ht="21" customHeight="1">
      <x:c r="A146" s="7"/>
      <x:c r="B146" s="8"/>
      <x:c r="C146" s="9"/>
      <x:c r="D146" s="10" t="str">
        <x:f>IF(C146="","",IFERROR(VLOOKUP(C146,'基金信息'!$A$6:$B$200,2,FALSE),"代码未找到"))</x:f>
      </x:c>
      <x:c r="E146" s="11"/>
      <x:c r="F146" s="12"/>
      <x:c r="G146" s="13"/>
      <x:c r="H146" s="13"/>
      <x:c r="I146" s="11"/>
      <x:c r="J146" s="11"/>
      <x:c r="K146" s="10" t="str">
        <x:f t="shared" si="2">IF(A146="","",IF(OR(E146="买入",E146="定投",E146="转换转入"),-(F146+I146),IF(OR(E146="卖出",E146="转换转出"),IF(J146&lt;&gt;"",J146,F146-I146),IF(E146="现金分红",J146,0))))</x:f>
      </x:c>
      <x:c r="L146" s="11"/>
      <x:c r="M146" s="14"/>
    </x:row>
    <x:row r="147" ht="21" customHeight="1">
      <x:c r="A147" s="7"/>
      <x:c r="B147" s="8"/>
      <x:c r="C147" s="9"/>
      <x:c r="D147" s="10" t="str">
        <x:f>IF(C147="","",IFERROR(VLOOKUP(C147,'基金信息'!$A$6:$B$200,2,FALSE),"代码未找到"))</x:f>
      </x:c>
      <x:c r="E147" s="11"/>
      <x:c r="F147" s="12"/>
      <x:c r="G147" s="13"/>
      <x:c r="H147" s="13"/>
      <x:c r="I147" s="11"/>
      <x:c r="J147" s="11"/>
      <x:c r="K147" s="10" t="str">
        <x:f t="shared" si="2">IF(A147="","",IF(OR(E147="买入",E147="定投",E147="转换转入"),-(F147+I147),IF(OR(E147="卖出",E147="转换转出"),IF(J147&lt;&gt;"",J147,F147-I147),IF(E147="现金分红",J147,0))))</x:f>
      </x:c>
      <x:c r="L147" s="11"/>
      <x:c r="M147" s="14"/>
    </x:row>
    <x:row r="148" ht="21" customHeight="1">
      <x:c r="A148" s="7"/>
      <x:c r="B148" s="8"/>
      <x:c r="C148" s="9"/>
      <x:c r="D148" s="10" t="str">
        <x:f>IF(C148="","",IFERROR(VLOOKUP(C148,'基金信息'!$A$6:$B$200,2,FALSE),"代码未找到"))</x:f>
      </x:c>
      <x:c r="E148" s="11"/>
      <x:c r="F148" s="12"/>
      <x:c r="G148" s="13"/>
      <x:c r="H148" s="13"/>
      <x:c r="I148" s="11"/>
      <x:c r="J148" s="11"/>
      <x:c r="K148" s="10" t="str">
        <x:f t="shared" si="2">IF(A148="","",IF(OR(E148="买入",E148="定投",E148="转换转入"),-(F148+I148),IF(OR(E148="卖出",E148="转换转出"),IF(J148&lt;&gt;"",J148,F148-I148),IF(E148="现金分红",J148,0))))</x:f>
      </x:c>
      <x:c r="L148" s="11"/>
      <x:c r="M148" s="14"/>
    </x:row>
    <x:row r="149" ht="21" customHeight="1">
      <x:c r="A149" s="7"/>
      <x:c r="B149" s="8"/>
      <x:c r="C149" s="9"/>
      <x:c r="D149" s="10" t="str">
        <x:f>IF(C149="","",IFERROR(VLOOKUP(C149,'基金信息'!$A$6:$B$200,2,FALSE),"代码未找到"))</x:f>
      </x:c>
      <x:c r="E149" s="11"/>
      <x:c r="F149" s="12"/>
      <x:c r="G149" s="13"/>
      <x:c r="H149" s="13"/>
      <x:c r="I149" s="11"/>
      <x:c r="J149" s="11"/>
      <x:c r="K149" s="10" t="str">
        <x:f t="shared" si="2">IF(A149="","",IF(OR(E149="买入",E149="定投",E149="转换转入"),-(F149+I149),IF(OR(E149="卖出",E149="转换转出"),IF(J149&lt;&gt;"",J149,F149-I149),IF(E149="现金分红",J149,0))))</x:f>
      </x:c>
      <x:c r="L149" s="11"/>
      <x:c r="M149" s="14"/>
    </x:row>
    <x:row r="150" ht="21" customHeight="1">
      <x:c r="A150" s="7"/>
      <x:c r="B150" s="8"/>
      <x:c r="C150" s="9"/>
      <x:c r="D150" s="10" t="str">
        <x:f>IF(C150="","",IFERROR(VLOOKUP(C150,'基金信息'!$A$6:$B$200,2,FALSE),"代码未找到"))</x:f>
      </x:c>
      <x:c r="E150" s="11"/>
      <x:c r="F150" s="12"/>
      <x:c r="G150" s="13"/>
      <x:c r="H150" s="13"/>
      <x:c r="I150" s="11"/>
      <x:c r="J150" s="11"/>
      <x:c r="K150" s="10" t="str">
        <x:f t="shared" si="2">IF(A150="","",IF(OR(E150="买入",E150="定投",E150="转换转入"),-(F150+I150),IF(OR(E150="卖出",E150="转换转出"),IF(J150&lt;&gt;"",J150,F150-I150),IF(E150="现金分红",J150,0))))</x:f>
      </x:c>
      <x:c r="L150" s="11"/>
      <x:c r="M150" s="14"/>
    </x:row>
    <x:row r="151" ht="21" customHeight="1">
      <x:c r="A151" s="7"/>
      <x:c r="B151" s="8"/>
      <x:c r="C151" s="9"/>
      <x:c r="D151" s="10" t="str">
        <x:f>IF(C151="","",IFERROR(VLOOKUP(C151,'基金信息'!$A$6:$B$200,2,FALSE),"代码未找到"))</x:f>
      </x:c>
      <x:c r="E151" s="11"/>
      <x:c r="F151" s="12"/>
      <x:c r="G151" s="13"/>
      <x:c r="H151" s="13"/>
      <x:c r="I151" s="11"/>
      <x:c r="J151" s="11"/>
      <x:c r="K151" s="10" t="str">
        <x:f t="shared" si="2">IF(A151="","",IF(OR(E151="买入",E151="定投",E151="转换转入"),-(F151+I151),IF(OR(E151="卖出",E151="转换转出"),IF(J151&lt;&gt;"",J151,F151-I151),IF(E151="现金分红",J151,0))))</x:f>
      </x:c>
      <x:c r="L151" s="11"/>
      <x:c r="M151" s="14"/>
    </x:row>
    <x:row r="152" ht="21" customHeight="1">
      <x:c r="A152" s="7"/>
      <x:c r="B152" s="8"/>
      <x:c r="C152" s="9"/>
      <x:c r="D152" s="10" t="str">
        <x:f>IF(C152="","",IFERROR(VLOOKUP(C152,'基金信息'!$A$6:$B$200,2,FALSE),"代码未找到"))</x:f>
      </x:c>
      <x:c r="E152" s="11"/>
      <x:c r="F152" s="12"/>
      <x:c r="G152" s="13"/>
      <x:c r="H152" s="13"/>
      <x:c r="I152" s="11"/>
      <x:c r="J152" s="11"/>
      <x:c r="K152" s="10" t="str">
        <x:f t="shared" si="2">IF(A152="","",IF(OR(E152="买入",E152="定投",E152="转换转入"),-(F152+I152),IF(OR(E152="卖出",E152="转换转出"),IF(J152&lt;&gt;"",J152,F152-I152),IF(E152="现金分红",J152,0))))</x:f>
      </x:c>
      <x:c r="L152" s="11"/>
      <x:c r="M152" s="14"/>
    </x:row>
    <x:row r="153" ht="21" customHeight="1">
      <x:c r="A153" s="7"/>
      <x:c r="B153" s="8"/>
      <x:c r="C153" s="9"/>
      <x:c r="D153" s="10" t="str">
        <x:f>IF(C153="","",IFERROR(VLOOKUP(C153,'基金信息'!$A$6:$B$200,2,FALSE),"代码未找到"))</x:f>
      </x:c>
      <x:c r="E153" s="11"/>
      <x:c r="F153" s="12"/>
      <x:c r="G153" s="13"/>
      <x:c r="H153" s="13"/>
      <x:c r="I153" s="11"/>
      <x:c r="J153" s="11"/>
      <x:c r="K153" s="10" t="str">
        <x:f t="shared" si="2">IF(A153="","",IF(OR(E153="买入",E153="定投",E153="转换转入"),-(F153+I153),IF(OR(E153="卖出",E153="转换转出"),IF(J153&lt;&gt;"",J153,F153-I153),IF(E153="现金分红",J153,0))))</x:f>
      </x:c>
      <x:c r="L153" s="11"/>
      <x:c r="M153" s="14"/>
    </x:row>
    <x:row r="154" ht="21" customHeight="1">
      <x:c r="A154" s="7"/>
      <x:c r="B154" s="8"/>
      <x:c r="C154" s="9"/>
      <x:c r="D154" s="10" t="str">
        <x:f>IF(C154="","",IFERROR(VLOOKUP(C154,'基金信息'!$A$6:$B$200,2,FALSE),"代码未找到"))</x:f>
      </x:c>
      <x:c r="E154" s="11"/>
      <x:c r="F154" s="12"/>
      <x:c r="G154" s="13"/>
      <x:c r="H154" s="13"/>
      <x:c r="I154" s="11"/>
      <x:c r="J154" s="11"/>
      <x:c r="K154" s="10" t="str">
        <x:f t="shared" si="2">IF(A154="","",IF(OR(E154="买入",E154="定投",E154="转换转入"),-(F154+I154),IF(OR(E154="卖出",E154="转换转出"),IF(J154&lt;&gt;"",J154,F154-I154),IF(E154="现金分红",J154,0))))</x:f>
      </x:c>
      <x:c r="L154" s="11"/>
      <x:c r="M154" s="14"/>
    </x:row>
    <x:row r="155" ht="21" customHeight="1">
      <x:c r="A155" s="7"/>
      <x:c r="B155" s="8"/>
      <x:c r="C155" s="9"/>
      <x:c r="D155" s="10" t="str">
        <x:f>IF(C155="","",IFERROR(VLOOKUP(C155,'基金信息'!$A$6:$B$200,2,FALSE),"代码未找到"))</x:f>
      </x:c>
      <x:c r="E155" s="11"/>
      <x:c r="F155" s="12"/>
      <x:c r="G155" s="13"/>
      <x:c r="H155" s="13"/>
      <x:c r="I155" s="11"/>
      <x:c r="J155" s="11"/>
      <x:c r="K155" s="10" t="str">
        <x:f t="shared" si="2">IF(A155="","",IF(OR(E155="买入",E155="定投",E155="转换转入"),-(F155+I155),IF(OR(E155="卖出",E155="转换转出"),IF(J155&lt;&gt;"",J155,F155-I155),IF(E155="现金分红",J155,0))))</x:f>
      </x:c>
      <x:c r="L155" s="11"/>
      <x:c r="M155" s="14"/>
    </x:row>
    <x:row r="156" ht="21" customHeight="1">
      <x:c r="A156" s="7"/>
      <x:c r="B156" s="8"/>
      <x:c r="C156" s="9"/>
      <x:c r="D156" s="10" t="str">
        <x:f>IF(C156="","",IFERROR(VLOOKUP(C156,'基金信息'!$A$6:$B$200,2,FALSE),"代码未找到"))</x:f>
      </x:c>
      <x:c r="E156" s="11"/>
      <x:c r="F156" s="12"/>
      <x:c r="G156" s="13"/>
      <x:c r="H156" s="13"/>
      <x:c r="I156" s="11"/>
      <x:c r="J156" s="11"/>
      <x:c r="K156" s="10" t="str">
        <x:f t="shared" si="2">IF(A156="","",IF(OR(E156="买入",E156="定投",E156="转换转入"),-(F156+I156),IF(OR(E156="卖出",E156="转换转出"),IF(J156&lt;&gt;"",J156,F156-I156),IF(E156="现金分红",J156,0))))</x:f>
      </x:c>
      <x:c r="L156" s="11"/>
      <x:c r="M156" s="14"/>
    </x:row>
    <x:row r="157" ht="21" customHeight="1">
      <x:c r="A157" s="7"/>
      <x:c r="B157" s="8"/>
      <x:c r="C157" s="9"/>
      <x:c r="D157" s="10" t="str">
        <x:f>IF(C157="","",IFERROR(VLOOKUP(C157,'基金信息'!$A$6:$B$200,2,FALSE),"代码未找到"))</x:f>
      </x:c>
      <x:c r="E157" s="11"/>
      <x:c r="F157" s="12"/>
      <x:c r="G157" s="13"/>
      <x:c r="H157" s="13"/>
      <x:c r="I157" s="11"/>
      <x:c r="J157" s="11"/>
      <x:c r="K157" s="10" t="str">
        <x:f t="shared" si="2">IF(A157="","",IF(OR(E157="买入",E157="定投",E157="转换转入"),-(F157+I157),IF(OR(E157="卖出",E157="转换转出"),IF(J157&lt;&gt;"",J157,F157-I157),IF(E157="现金分红",J157,0))))</x:f>
      </x:c>
      <x:c r="L157" s="11"/>
      <x:c r="M157" s="14"/>
    </x:row>
    <x:row r="158" ht="21" customHeight="1">
      <x:c r="A158" s="7"/>
      <x:c r="B158" s="8"/>
      <x:c r="C158" s="9"/>
      <x:c r="D158" s="10" t="str">
        <x:f>IF(C158="","",IFERROR(VLOOKUP(C158,'基金信息'!$A$6:$B$200,2,FALSE),"代码未找到"))</x:f>
      </x:c>
      <x:c r="E158" s="11"/>
      <x:c r="F158" s="12"/>
      <x:c r="G158" s="13"/>
      <x:c r="H158" s="13"/>
      <x:c r="I158" s="11"/>
      <x:c r="J158" s="11"/>
      <x:c r="K158" s="10" t="str">
        <x:f t="shared" si="2">IF(A158="","",IF(OR(E158="买入",E158="定投",E158="转换转入"),-(F158+I158),IF(OR(E158="卖出",E158="转换转出"),IF(J158&lt;&gt;"",J158,F158-I158),IF(E158="现金分红",J158,0))))</x:f>
      </x:c>
      <x:c r="L158" s="11"/>
      <x:c r="M158" s="14"/>
    </x:row>
    <x:row r="159" ht="21" customHeight="1">
      <x:c r="A159" s="7"/>
      <x:c r="B159" s="8"/>
      <x:c r="C159" s="9"/>
      <x:c r="D159" s="10" t="str">
        <x:f>IF(C159="","",IFERROR(VLOOKUP(C159,'基金信息'!$A$6:$B$200,2,FALSE),"代码未找到"))</x:f>
      </x:c>
      <x:c r="E159" s="11"/>
      <x:c r="F159" s="12"/>
      <x:c r="G159" s="13"/>
      <x:c r="H159" s="13"/>
      <x:c r="I159" s="11"/>
      <x:c r="J159" s="11"/>
      <x:c r="K159" s="10" t="str">
        <x:f t="shared" si="2">IF(A159="","",IF(OR(E159="买入",E159="定投",E159="转换转入"),-(F159+I159),IF(OR(E159="卖出",E159="转换转出"),IF(J159&lt;&gt;"",J159,F159-I159),IF(E159="现金分红",J159,0))))</x:f>
      </x:c>
      <x:c r="L159" s="11"/>
      <x:c r="M159" s="14"/>
    </x:row>
    <x:row r="160" ht="21" customHeight="1">
      <x:c r="A160" s="7"/>
      <x:c r="B160" s="8"/>
      <x:c r="C160" s="9"/>
      <x:c r="D160" s="10" t="str">
        <x:f>IF(C160="","",IFERROR(VLOOKUP(C160,'基金信息'!$A$6:$B$200,2,FALSE),"代码未找到"))</x:f>
      </x:c>
      <x:c r="E160" s="11"/>
      <x:c r="F160" s="12"/>
      <x:c r="G160" s="13"/>
      <x:c r="H160" s="13"/>
      <x:c r="I160" s="11"/>
      <x:c r="J160" s="11"/>
      <x:c r="K160" s="10" t="str">
        <x:f t="shared" si="2">IF(A160="","",IF(OR(E160="买入",E160="定投",E160="转换转入"),-(F160+I160),IF(OR(E160="卖出",E160="转换转出"),IF(J160&lt;&gt;"",J160,F160-I160),IF(E160="现金分红",J160,0))))</x:f>
      </x:c>
      <x:c r="L160" s="11"/>
      <x:c r="M160" s="14"/>
    </x:row>
    <x:row r="161" ht="21" customHeight="1">
      <x:c r="A161" s="7"/>
      <x:c r="B161" s="8"/>
      <x:c r="C161" s="9"/>
      <x:c r="D161" s="10" t="str">
        <x:f>IF(C161="","",IFERROR(VLOOKUP(C161,'基金信息'!$A$6:$B$200,2,FALSE),"代码未找到"))</x:f>
      </x:c>
      <x:c r="E161" s="11"/>
      <x:c r="F161" s="12"/>
      <x:c r="G161" s="13"/>
      <x:c r="H161" s="13"/>
      <x:c r="I161" s="11"/>
      <x:c r="J161" s="11"/>
      <x:c r="K161" s="10" t="str">
        <x:f t="shared" si="2">IF(A161="","",IF(OR(E161="买入",E161="定投",E161="转换转入"),-(F161+I161),IF(OR(E161="卖出",E161="转换转出"),IF(J161&lt;&gt;"",J161,F161-I161),IF(E161="现金分红",J161,0))))</x:f>
      </x:c>
      <x:c r="L161" s="11"/>
      <x:c r="M161" s="14"/>
    </x:row>
    <x:row r="162" ht="21" customHeight="1">
      <x:c r="A162" s="7"/>
      <x:c r="B162" s="8"/>
      <x:c r="C162" s="9"/>
      <x:c r="D162" s="10" t="str">
        <x:f>IF(C162="","",IFERROR(VLOOKUP(C162,'基金信息'!$A$6:$B$200,2,FALSE),"代码未找到"))</x:f>
      </x:c>
      <x:c r="E162" s="11"/>
      <x:c r="F162" s="12"/>
      <x:c r="G162" s="13"/>
      <x:c r="H162" s="13"/>
      <x:c r="I162" s="11"/>
      <x:c r="J162" s="11"/>
      <x:c r="K162" s="10" t="str">
        <x:f t="shared" si="2">IF(A162="","",IF(OR(E162="买入",E162="定投",E162="转换转入"),-(F162+I162),IF(OR(E162="卖出",E162="转换转出"),IF(J162&lt;&gt;"",J162,F162-I162),IF(E162="现金分红",J162,0))))</x:f>
      </x:c>
      <x:c r="L162" s="11"/>
      <x:c r="M162" s="14"/>
    </x:row>
    <x:row r="163" ht="21" customHeight="1">
      <x:c r="A163" s="7"/>
      <x:c r="B163" s="8"/>
      <x:c r="C163" s="9"/>
      <x:c r="D163" s="10" t="str">
        <x:f>IF(C163="","",IFERROR(VLOOKUP(C163,'基金信息'!$A$6:$B$200,2,FALSE),"代码未找到"))</x:f>
      </x:c>
      <x:c r="E163" s="11"/>
      <x:c r="F163" s="12"/>
      <x:c r="G163" s="13"/>
      <x:c r="H163" s="13"/>
      <x:c r="I163" s="11"/>
      <x:c r="J163" s="11"/>
      <x:c r="K163" s="10" t="str">
        <x:f t="shared" si="2">IF(A163="","",IF(OR(E163="买入",E163="定投",E163="转换转入"),-(F163+I163),IF(OR(E163="卖出",E163="转换转出"),IF(J163&lt;&gt;"",J163,F163-I163),IF(E163="现金分红",J163,0))))</x:f>
      </x:c>
      <x:c r="L163" s="11"/>
      <x:c r="M163" s="14"/>
    </x:row>
    <x:row r="164" ht="21" customHeight="1">
      <x:c r="A164" s="7"/>
      <x:c r="B164" s="8"/>
      <x:c r="C164" s="9"/>
      <x:c r="D164" s="10" t="str">
        <x:f>IF(C164="","",IFERROR(VLOOKUP(C164,'基金信息'!$A$6:$B$200,2,FALSE),"代码未找到"))</x:f>
      </x:c>
      <x:c r="E164" s="11"/>
      <x:c r="F164" s="12"/>
      <x:c r="G164" s="13"/>
      <x:c r="H164" s="13"/>
      <x:c r="I164" s="11"/>
      <x:c r="J164" s="11"/>
      <x:c r="K164" s="10" t="str">
        <x:f t="shared" si="2">IF(A164="","",IF(OR(E164="买入",E164="定投",E164="转换转入"),-(F164+I164),IF(OR(E164="卖出",E164="转换转出"),IF(J164&lt;&gt;"",J164,F164-I164),IF(E164="现金分红",J164,0))))</x:f>
      </x:c>
      <x:c r="L164" s="11"/>
      <x:c r="M164" s="14"/>
    </x:row>
    <x:row r="165" ht="21" customHeight="1">
      <x:c r="A165" s="7"/>
      <x:c r="B165" s="8"/>
      <x:c r="C165" s="9"/>
      <x:c r="D165" s="10" t="str">
        <x:f>IF(C165="","",IFERROR(VLOOKUP(C165,'基金信息'!$A$6:$B$200,2,FALSE),"代码未找到"))</x:f>
      </x:c>
      <x:c r="E165" s="11"/>
      <x:c r="F165" s="12"/>
      <x:c r="G165" s="13"/>
      <x:c r="H165" s="13"/>
      <x:c r="I165" s="11"/>
      <x:c r="J165" s="11"/>
      <x:c r="K165" s="10" t="str">
        <x:f t="shared" si="2">IF(A165="","",IF(OR(E165="买入",E165="定投",E165="转换转入"),-(F165+I165),IF(OR(E165="卖出",E165="转换转出"),IF(J165&lt;&gt;"",J165,F165-I165),IF(E165="现金分红",J165,0))))</x:f>
      </x:c>
      <x:c r="L165" s="11"/>
      <x:c r="M165" s="14"/>
    </x:row>
    <x:row r="166" ht="21" customHeight="1">
      <x:c r="A166" s="7"/>
      <x:c r="B166" s="8"/>
      <x:c r="C166" s="9"/>
      <x:c r="D166" s="10" t="str">
        <x:f>IF(C166="","",IFERROR(VLOOKUP(C166,'基金信息'!$A$6:$B$200,2,FALSE),"代码未找到"))</x:f>
      </x:c>
      <x:c r="E166" s="11"/>
      <x:c r="F166" s="12"/>
      <x:c r="G166" s="13"/>
      <x:c r="H166" s="13"/>
      <x:c r="I166" s="11"/>
      <x:c r="J166" s="11"/>
      <x:c r="K166" s="10" t="str">
        <x:f t="shared" si="2">IF(A166="","",IF(OR(E166="买入",E166="定投",E166="转换转入"),-(F166+I166),IF(OR(E166="卖出",E166="转换转出"),IF(J166&lt;&gt;"",J166,F166-I166),IF(E166="现金分红",J166,0))))</x:f>
      </x:c>
      <x:c r="L166" s="11"/>
      <x:c r="M166" s="14"/>
    </x:row>
    <x:row r="167" ht="21" customHeight="1">
      <x:c r="A167" s="7"/>
      <x:c r="B167" s="8"/>
      <x:c r="C167" s="9"/>
      <x:c r="D167" s="10" t="str">
        <x:f>IF(C167="","",IFERROR(VLOOKUP(C167,'基金信息'!$A$6:$B$200,2,FALSE),"代码未找到"))</x:f>
      </x:c>
      <x:c r="E167" s="11"/>
      <x:c r="F167" s="12"/>
      <x:c r="G167" s="13"/>
      <x:c r="H167" s="13"/>
      <x:c r="I167" s="11"/>
      <x:c r="J167" s="11"/>
      <x:c r="K167" s="10" t="str">
        <x:f t="shared" si="2">IF(A167="","",IF(OR(E167="买入",E167="定投",E167="转换转入"),-(F167+I167),IF(OR(E167="卖出",E167="转换转出"),IF(J167&lt;&gt;"",J167,F167-I167),IF(E167="现金分红",J167,0))))</x:f>
      </x:c>
      <x:c r="L167" s="11"/>
      <x:c r="M167" s="14"/>
    </x:row>
    <x:row r="168" ht="21" customHeight="1">
      <x:c r="A168" s="7"/>
      <x:c r="B168" s="8"/>
      <x:c r="C168" s="9"/>
      <x:c r="D168" s="10" t="str">
        <x:f>IF(C168="","",IFERROR(VLOOKUP(C168,'基金信息'!$A$6:$B$200,2,FALSE),"代码未找到"))</x:f>
      </x:c>
      <x:c r="E168" s="11"/>
      <x:c r="F168" s="12"/>
      <x:c r="G168" s="13"/>
      <x:c r="H168" s="13"/>
      <x:c r="I168" s="11"/>
      <x:c r="J168" s="11"/>
      <x:c r="K168" s="10" t="str">
        <x:f t="shared" si="2">IF(A168="","",IF(OR(E168="买入",E168="定投",E168="转换转入"),-(F168+I168),IF(OR(E168="卖出",E168="转换转出"),IF(J168&lt;&gt;"",J168,F168-I168),IF(E168="现金分红",J168,0))))</x:f>
      </x:c>
      <x:c r="L168" s="11"/>
      <x:c r="M168" s="14"/>
    </x:row>
    <x:row r="169" ht="21" customHeight="1">
      <x:c r="A169" s="7"/>
      <x:c r="B169" s="8"/>
      <x:c r="C169" s="9"/>
      <x:c r="D169" s="10" t="str">
        <x:f>IF(C169="","",IFERROR(VLOOKUP(C169,'基金信息'!$A$6:$B$200,2,FALSE),"代码未找到"))</x:f>
      </x:c>
      <x:c r="E169" s="11"/>
      <x:c r="F169" s="12"/>
      <x:c r="G169" s="13"/>
      <x:c r="H169" s="13"/>
      <x:c r="I169" s="11"/>
      <x:c r="J169" s="11"/>
      <x:c r="K169" s="10" t="str">
        <x:f t="shared" si="2">IF(A169="","",IF(OR(E169="买入",E169="定投",E169="转换转入"),-(F169+I169),IF(OR(E169="卖出",E169="转换转出"),IF(J169&lt;&gt;"",J169,F169-I169),IF(E169="现金分红",J169,0))))</x:f>
      </x:c>
      <x:c r="L169" s="11"/>
      <x:c r="M169" s="14"/>
    </x:row>
    <x:row r="170" ht="21" customHeight="1">
      <x:c r="A170" s="7"/>
      <x:c r="B170" s="8"/>
      <x:c r="C170" s="9"/>
      <x:c r="D170" s="10" t="str">
        <x:f>IF(C170="","",IFERROR(VLOOKUP(C170,'基金信息'!$A$6:$B$200,2,FALSE),"代码未找到"))</x:f>
      </x:c>
      <x:c r="E170" s="11"/>
      <x:c r="F170" s="12"/>
      <x:c r="G170" s="13"/>
      <x:c r="H170" s="13"/>
      <x:c r="I170" s="11"/>
      <x:c r="J170" s="11"/>
      <x:c r="K170" s="10" t="str">
        <x:f t="shared" si="2">IF(A170="","",IF(OR(E170="买入",E170="定投",E170="转换转入"),-(F170+I170),IF(OR(E170="卖出",E170="转换转出"),IF(J170&lt;&gt;"",J170,F170-I170),IF(E170="现金分红",J170,0))))</x:f>
      </x:c>
      <x:c r="L170" s="11"/>
      <x:c r="M170" s="14"/>
    </x:row>
    <x:row r="171" ht="21" customHeight="1">
      <x:c r="A171" s="7"/>
      <x:c r="B171" s="8"/>
      <x:c r="C171" s="9"/>
      <x:c r="D171" s="10" t="str">
        <x:f>IF(C171="","",IFERROR(VLOOKUP(C171,'基金信息'!$A$6:$B$200,2,FALSE),"代码未找到"))</x:f>
      </x:c>
      <x:c r="E171" s="11"/>
      <x:c r="F171" s="12"/>
      <x:c r="G171" s="13"/>
      <x:c r="H171" s="13"/>
      <x:c r="I171" s="11"/>
      <x:c r="J171" s="11"/>
      <x:c r="K171" s="10" t="str">
        <x:f t="shared" si="2">IF(A171="","",IF(OR(E171="买入",E171="定投",E171="转换转入"),-(F171+I171),IF(OR(E171="卖出",E171="转换转出"),IF(J171&lt;&gt;"",J171,F171-I171),IF(E171="现金分红",J171,0))))</x:f>
      </x:c>
      <x:c r="L171" s="11"/>
      <x:c r="M171" s="14"/>
    </x:row>
    <x:row r="172" ht="21" customHeight="1">
      <x:c r="A172" s="7"/>
      <x:c r="B172" s="8"/>
      <x:c r="C172" s="9"/>
      <x:c r="D172" s="10" t="str">
        <x:f>IF(C172="","",IFERROR(VLOOKUP(C172,'基金信息'!$A$6:$B$200,2,FALSE),"代码未找到"))</x:f>
      </x:c>
      <x:c r="E172" s="11"/>
      <x:c r="F172" s="12"/>
      <x:c r="G172" s="13"/>
      <x:c r="H172" s="13"/>
      <x:c r="I172" s="11"/>
      <x:c r="J172" s="11"/>
      <x:c r="K172" s="10" t="str">
        <x:f t="shared" si="2">IF(A172="","",IF(OR(E172="买入",E172="定投",E172="转换转入"),-(F172+I172),IF(OR(E172="卖出",E172="转换转出"),IF(J172&lt;&gt;"",J172,F172-I172),IF(E172="现金分红",J172,0))))</x:f>
      </x:c>
      <x:c r="L172" s="11"/>
      <x:c r="M172" s="14"/>
    </x:row>
    <x:row r="173" ht="21" customHeight="1">
      <x:c r="A173" s="7"/>
      <x:c r="B173" s="8"/>
      <x:c r="C173" s="9"/>
      <x:c r="D173" s="10" t="str">
        <x:f>IF(C173="","",IFERROR(VLOOKUP(C173,'基金信息'!$A$6:$B$200,2,FALSE),"代码未找到"))</x:f>
      </x:c>
      <x:c r="E173" s="11"/>
      <x:c r="F173" s="12"/>
      <x:c r="G173" s="13"/>
      <x:c r="H173" s="13"/>
      <x:c r="I173" s="11"/>
      <x:c r="J173" s="11"/>
      <x:c r="K173" s="10" t="str">
        <x:f t="shared" si="2">IF(A173="","",IF(OR(E173="买入",E173="定投",E173="转换转入"),-(F173+I173),IF(OR(E173="卖出",E173="转换转出"),IF(J173&lt;&gt;"",J173,F173-I173),IF(E173="现金分红",J173,0))))</x:f>
      </x:c>
      <x:c r="L173" s="11"/>
      <x:c r="M173" s="14"/>
    </x:row>
    <x:row r="174" ht="21" customHeight="1">
      <x:c r="A174" s="7"/>
      <x:c r="B174" s="8"/>
      <x:c r="C174" s="9"/>
      <x:c r="D174" s="10" t="str">
        <x:f>IF(C174="","",IFERROR(VLOOKUP(C174,'基金信息'!$A$6:$B$200,2,FALSE),"代码未找到"))</x:f>
      </x:c>
      <x:c r="E174" s="11"/>
      <x:c r="F174" s="12"/>
      <x:c r="G174" s="13"/>
      <x:c r="H174" s="13"/>
      <x:c r="I174" s="11"/>
      <x:c r="J174" s="11"/>
      <x:c r="K174" s="10" t="str">
        <x:f t="shared" si="2">IF(A174="","",IF(OR(E174="买入",E174="定投",E174="转换转入"),-(F174+I174),IF(OR(E174="卖出",E174="转换转出"),IF(J174&lt;&gt;"",J174,F174-I174),IF(E174="现金分红",J174,0))))</x:f>
      </x:c>
      <x:c r="L174" s="11"/>
      <x:c r="M174" s="14"/>
    </x:row>
    <x:row r="175" ht="21" customHeight="1">
      <x:c r="A175" s="7"/>
      <x:c r="B175" s="8"/>
      <x:c r="C175" s="9"/>
      <x:c r="D175" s="10" t="str">
        <x:f>IF(C175="","",IFERROR(VLOOKUP(C175,'基金信息'!$A$6:$B$200,2,FALSE),"代码未找到"))</x:f>
      </x:c>
      <x:c r="E175" s="11"/>
      <x:c r="F175" s="12"/>
      <x:c r="G175" s="13"/>
      <x:c r="H175" s="13"/>
      <x:c r="I175" s="11"/>
      <x:c r="J175" s="11"/>
      <x:c r="K175" s="10" t="str">
        <x:f t="shared" si="2">IF(A175="","",IF(OR(E175="买入",E175="定投",E175="转换转入"),-(F175+I175),IF(OR(E175="卖出",E175="转换转出"),IF(J175&lt;&gt;"",J175,F175-I175),IF(E175="现金分红",J175,0))))</x:f>
      </x:c>
      <x:c r="L175" s="11"/>
      <x:c r="M175" s="14"/>
    </x:row>
    <x:row r="176" ht="21" customHeight="1">
      <x:c r="A176" s="7"/>
      <x:c r="B176" s="8"/>
      <x:c r="C176" s="9"/>
      <x:c r="D176" s="10" t="str">
        <x:f>IF(C176="","",IFERROR(VLOOKUP(C176,'基金信息'!$A$6:$B$200,2,FALSE),"代码未找到"))</x:f>
      </x:c>
      <x:c r="E176" s="11"/>
      <x:c r="F176" s="12"/>
      <x:c r="G176" s="13"/>
      <x:c r="H176" s="13"/>
      <x:c r="I176" s="11"/>
      <x:c r="J176" s="11"/>
      <x:c r="K176" s="10" t="str">
        <x:f t="shared" si="2">IF(A176="","",IF(OR(E176="买入",E176="定投",E176="转换转入"),-(F176+I176),IF(OR(E176="卖出",E176="转换转出"),IF(J176&lt;&gt;"",J176,F176-I176),IF(E176="现金分红",J176,0))))</x:f>
      </x:c>
      <x:c r="L176" s="11"/>
      <x:c r="M176" s="14"/>
    </x:row>
    <x:row r="177" ht="21" customHeight="1">
      <x:c r="A177" s="7"/>
      <x:c r="B177" s="8"/>
      <x:c r="C177" s="9"/>
      <x:c r="D177" s="10" t="str">
        <x:f>IF(C177="","",IFERROR(VLOOKUP(C177,'基金信息'!$A$6:$B$200,2,FALSE),"代码未找到"))</x:f>
      </x:c>
      <x:c r="E177" s="11"/>
      <x:c r="F177" s="12"/>
      <x:c r="G177" s="13"/>
      <x:c r="H177" s="13"/>
      <x:c r="I177" s="11"/>
      <x:c r="J177" s="11"/>
      <x:c r="K177" s="10" t="str">
        <x:f t="shared" si="2">IF(A177="","",IF(OR(E177="买入",E177="定投",E177="转换转入"),-(F177+I177),IF(OR(E177="卖出",E177="转换转出"),IF(J177&lt;&gt;"",J177,F177-I177),IF(E177="现金分红",J177,0))))</x:f>
      </x:c>
      <x:c r="L177" s="11"/>
      <x:c r="M177" s="14"/>
    </x:row>
    <x:row r="178" ht="21" customHeight="1">
      <x:c r="A178" s="7"/>
      <x:c r="B178" s="8"/>
      <x:c r="C178" s="9"/>
      <x:c r="D178" s="10" t="str">
        <x:f>IF(C178="","",IFERROR(VLOOKUP(C178,'基金信息'!$A$6:$B$200,2,FALSE),"代码未找到"))</x:f>
      </x:c>
      <x:c r="E178" s="11"/>
      <x:c r="F178" s="12"/>
      <x:c r="G178" s="13"/>
      <x:c r="H178" s="13"/>
      <x:c r="I178" s="11"/>
      <x:c r="J178" s="11"/>
      <x:c r="K178" s="10" t="str">
        <x:f t="shared" si="2">IF(A178="","",IF(OR(E178="买入",E178="定投",E178="转换转入"),-(F178+I178),IF(OR(E178="卖出",E178="转换转出"),IF(J178&lt;&gt;"",J178,F178-I178),IF(E178="现金分红",J178,0))))</x:f>
      </x:c>
      <x:c r="L178" s="11"/>
      <x:c r="M178" s="14"/>
    </x:row>
    <x:row r="179" ht="21" customHeight="1">
      <x:c r="A179" s="7"/>
      <x:c r="B179" s="8"/>
      <x:c r="C179" s="9"/>
      <x:c r="D179" s="10" t="str">
        <x:f>IF(C179="","",IFERROR(VLOOKUP(C179,'基金信息'!$A$6:$B$200,2,FALSE),"代码未找到"))</x:f>
      </x:c>
      <x:c r="E179" s="11"/>
      <x:c r="F179" s="12"/>
      <x:c r="G179" s="13"/>
      <x:c r="H179" s="13"/>
      <x:c r="I179" s="11"/>
      <x:c r="J179" s="11"/>
      <x:c r="K179" s="10" t="str">
        <x:f t="shared" si="2">IF(A179="","",IF(OR(E179="买入",E179="定投",E179="转换转入"),-(F179+I179),IF(OR(E179="卖出",E179="转换转出"),IF(J179&lt;&gt;"",J179,F179-I179),IF(E179="现金分红",J179,0))))</x:f>
      </x:c>
      <x:c r="L179" s="11"/>
      <x:c r="M179" s="14"/>
    </x:row>
    <x:row r="180" ht="21" customHeight="1">
      <x:c r="A180" s="7"/>
      <x:c r="B180" s="8"/>
      <x:c r="C180" s="9"/>
      <x:c r="D180" s="10" t="str">
        <x:f>IF(C180="","",IFERROR(VLOOKUP(C180,'基金信息'!$A$6:$B$200,2,FALSE),"代码未找到"))</x:f>
      </x:c>
      <x:c r="E180" s="11"/>
      <x:c r="F180" s="12"/>
      <x:c r="G180" s="13"/>
      <x:c r="H180" s="13"/>
      <x:c r="I180" s="11"/>
      <x:c r="J180" s="11"/>
      <x:c r="K180" s="10" t="str">
        <x:f t="shared" si="2">IF(A180="","",IF(OR(E180="买入",E180="定投",E180="转换转入"),-(F180+I180),IF(OR(E180="卖出",E180="转换转出"),IF(J180&lt;&gt;"",J180,F180-I180),IF(E180="现金分红",J180,0))))</x:f>
      </x:c>
      <x:c r="L180" s="11"/>
      <x:c r="M180" s="14"/>
    </x:row>
    <x:row r="181" ht="21" customHeight="1">
      <x:c r="A181" s="7"/>
      <x:c r="B181" s="8"/>
      <x:c r="C181" s="9"/>
      <x:c r="D181" s="10" t="str">
        <x:f>IF(C181="","",IFERROR(VLOOKUP(C181,'基金信息'!$A$6:$B$200,2,FALSE),"代码未找到"))</x:f>
      </x:c>
      <x:c r="E181" s="11"/>
      <x:c r="F181" s="12"/>
      <x:c r="G181" s="13"/>
      <x:c r="H181" s="13"/>
      <x:c r="I181" s="11"/>
      <x:c r="J181" s="11"/>
      <x:c r="K181" s="10" t="str">
        <x:f t="shared" si="2">IF(A181="","",IF(OR(E181="买入",E181="定投",E181="转换转入"),-(F181+I181),IF(OR(E181="卖出",E181="转换转出"),IF(J181&lt;&gt;"",J181,F181-I181),IF(E181="现金分红",J181,0))))</x:f>
      </x:c>
      <x:c r="L181" s="11"/>
      <x:c r="M181" s="14"/>
    </x:row>
    <x:row r="182" ht="21" customHeight="1">
      <x:c r="A182" s="7"/>
      <x:c r="B182" s="8"/>
      <x:c r="C182" s="9"/>
      <x:c r="D182" s="10" t="str">
        <x:f>IF(C182="","",IFERROR(VLOOKUP(C182,'基金信息'!$A$6:$B$200,2,FALSE),"代码未找到"))</x:f>
      </x:c>
      <x:c r="E182" s="11"/>
      <x:c r="F182" s="12"/>
      <x:c r="G182" s="13"/>
      <x:c r="H182" s="13"/>
      <x:c r="I182" s="11"/>
      <x:c r="J182" s="11"/>
      <x:c r="K182" s="10" t="str">
        <x:f t="shared" si="2">IF(A182="","",IF(OR(E182="买入",E182="定投",E182="转换转入"),-(F182+I182),IF(OR(E182="卖出",E182="转换转出"),IF(J182&lt;&gt;"",J182,F182-I182),IF(E182="现金分红",J182,0))))</x:f>
      </x:c>
      <x:c r="L182" s="11"/>
      <x:c r="M182" s="14"/>
    </x:row>
    <x:row r="183" ht="21" customHeight="1">
      <x:c r="A183" s="7"/>
      <x:c r="B183" s="8"/>
      <x:c r="C183" s="9"/>
      <x:c r="D183" s="10" t="str">
        <x:f>IF(C183="","",IFERROR(VLOOKUP(C183,'基金信息'!$A$6:$B$200,2,FALSE),"代码未找到"))</x:f>
      </x:c>
      <x:c r="E183" s="11"/>
      <x:c r="F183" s="12"/>
      <x:c r="G183" s="13"/>
      <x:c r="H183" s="13"/>
      <x:c r="I183" s="11"/>
      <x:c r="J183" s="11"/>
      <x:c r="K183" s="10" t="str">
        <x:f t="shared" si="2">IF(A183="","",IF(OR(E183="买入",E183="定投",E183="转换转入"),-(F183+I183),IF(OR(E183="卖出",E183="转换转出"),IF(J183&lt;&gt;"",J183,F183-I183),IF(E183="现金分红",J183,0))))</x:f>
      </x:c>
      <x:c r="L183" s="11"/>
      <x:c r="M183" s="14"/>
    </x:row>
    <x:row r="184" ht="21" customHeight="1">
      <x:c r="A184" s="7"/>
      <x:c r="B184" s="8"/>
      <x:c r="C184" s="9"/>
      <x:c r="D184" s="10" t="str">
        <x:f>IF(C184="","",IFERROR(VLOOKUP(C184,'基金信息'!$A$6:$B$200,2,FALSE),"代码未找到"))</x:f>
      </x:c>
      <x:c r="E184" s="11"/>
      <x:c r="F184" s="12"/>
      <x:c r="G184" s="13"/>
      <x:c r="H184" s="13"/>
      <x:c r="I184" s="11"/>
      <x:c r="J184" s="11"/>
      <x:c r="K184" s="10" t="str">
        <x:f t="shared" si="2">IF(A184="","",IF(OR(E184="买入",E184="定投",E184="转换转入"),-(F184+I184),IF(OR(E184="卖出",E184="转换转出"),IF(J184&lt;&gt;"",J184,F184-I184),IF(E184="现金分红",J184,0))))</x:f>
      </x:c>
      <x:c r="L184" s="11"/>
      <x:c r="M184" s="14"/>
    </x:row>
    <x:row r="185" ht="21" customHeight="1">
      <x:c r="A185" s="7"/>
      <x:c r="B185" s="8"/>
      <x:c r="C185" s="9"/>
      <x:c r="D185" s="10" t="str">
        <x:f>IF(C185="","",IFERROR(VLOOKUP(C185,'基金信息'!$A$6:$B$200,2,FALSE),"代码未找到"))</x:f>
      </x:c>
      <x:c r="E185" s="11"/>
      <x:c r="F185" s="12"/>
      <x:c r="G185" s="13"/>
      <x:c r="H185" s="13"/>
      <x:c r="I185" s="11"/>
      <x:c r="J185" s="11"/>
      <x:c r="K185" s="10" t="str">
        <x:f t="shared" si="2">IF(A185="","",IF(OR(E185="买入",E185="定投",E185="转换转入"),-(F185+I185),IF(OR(E185="卖出",E185="转换转出"),IF(J185&lt;&gt;"",J185,F185-I185),IF(E185="现金分红",J185,0))))</x:f>
      </x:c>
      <x:c r="L185" s="11"/>
      <x:c r="M185" s="14"/>
    </x:row>
    <x:row r="186" ht="21" customHeight="1">
      <x:c r="A186" s="7"/>
      <x:c r="B186" s="8"/>
      <x:c r="C186" s="9"/>
      <x:c r="D186" s="10" t="str">
        <x:f>IF(C186="","",IFERROR(VLOOKUP(C186,'基金信息'!$A$6:$B$200,2,FALSE),"代码未找到"))</x:f>
      </x:c>
      <x:c r="E186" s="11"/>
      <x:c r="F186" s="12"/>
      <x:c r="G186" s="13"/>
      <x:c r="H186" s="13"/>
      <x:c r="I186" s="11"/>
      <x:c r="J186" s="11"/>
      <x:c r="K186" s="10" t="str">
        <x:f t="shared" si="2">IF(A186="","",IF(OR(E186="买入",E186="定投",E186="转换转入"),-(F186+I186),IF(OR(E186="卖出",E186="转换转出"),IF(J186&lt;&gt;"",J186,F186-I186),IF(E186="现金分红",J186,0))))</x:f>
      </x:c>
      <x:c r="L186" s="11"/>
      <x:c r="M186" s="14"/>
    </x:row>
    <x:row r="187" ht="21" customHeight="1">
      <x:c r="A187" s="7"/>
      <x:c r="B187" s="8"/>
      <x:c r="C187" s="9"/>
      <x:c r="D187" s="10" t="str">
        <x:f>IF(C187="","",IFERROR(VLOOKUP(C187,'基金信息'!$A$6:$B$200,2,FALSE),"代码未找到"))</x:f>
      </x:c>
      <x:c r="E187" s="11"/>
      <x:c r="F187" s="12"/>
      <x:c r="G187" s="13"/>
      <x:c r="H187" s="13"/>
      <x:c r="I187" s="11"/>
      <x:c r="J187" s="11"/>
      <x:c r="K187" s="10" t="str">
        <x:f t="shared" si="2">IF(A187="","",IF(OR(E187="买入",E187="定投",E187="转换转入"),-(F187+I187),IF(OR(E187="卖出",E187="转换转出"),IF(J187&lt;&gt;"",J187,F187-I187),IF(E187="现金分红",J187,0))))</x:f>
      </x:c>
      <x:c r="L187" s="11"/>
      <x:c r="M187" s="14"/>
    </x:row>
    <x:row r="188" ht="21" customHeight="1">
      <x:c r="A188" s="7"/>
      <x:c r="B188" s="8"/>
      <x:c r="C188" s="9"/>
      <x:c r="D188" s="10" t="str">
        <x:f>IF(C188="","",IFERROR(VLOOKUP(C188,'基金信息'!$A$6:$B$200,2,FALSE),"代码未找到"))</x:f>
      </x:c>
      <x:c r="E188" s="11"/>
      <x:c r="F188" s="12"/>
      <x:c r="G188" s="13"/>
      <x:c r="H188" s="13"/>
      <x:c r="I188" s="11"/>
      <x:c r="J188" s="11"/>
      <x:c r="K188" s="10" t="str">
        <x:f t="shared" si="2">IF(A188="","",IF(OR(E188="买入",E188="定投",E188="转换转入"),-(F188+I188),IF(OR(E188="卖出",E188="转换转出"),IF(J188&lt;&gt;"",J188,F188-I188),IF(E188="现金分红",J188,0))))</x:f>
      </x:c>
      <x:c r="L188" s="11"/>
      <x:c r="M188" s="14"/>
    </x:row>
    <x:row r="189" ht="21" customHeight="1">
      <x:c r="A189" s="7"/>
      <x:c r="B189" s="8"/>
      <x:c r="C189" s="9"/>
      <x:c r="D189" s="10" t="str">
        <x:f>IF(C189="","",IFERROR(VLOOKUP(C189,'基金信息'!$A$6:$B$200,2,FALSE),"代码未找到"))</x:f>
      </x:c>
      <x:c r="E189" s="11"/>
      <x:c r="F189" s="12"/>
      <x:c r="G189" s="13"/>
      <x:c r="H189" s="13"/>
      <x:c r="I189" s="11"/>
      <x:c r="J189" s="11"/>
      <x:c r="K189" s="10" t="str">
        <x:f t="shared" si="2">IF(A189="","",IF(OR(E189="买入",E189="定投",E189="转换转入"),-(F189+I189),IF(OR(E189="卖出",E189="转换转出"),IF(J189&lt;&gt;"",J189,F189-I189),IF(E189="现金分红",J189,0))))</x:f>
      </x:c>
      <x:c r="L189" s="11"/>
      <x:c r="M189" s="14"/>
    </x:row>
    <x:row r="190" ht="21" customHeight="1">
      <x:c r="A190" s="7"/>
      <x:c r="B190" s="8"/>
      <x:c r="C190" s="9"/>
      <x:c r="D190" s="10" t="str">
        <x:f>IF(C190="","",IFERROR(VLOOKUP(C190,'基金信息'!$A$6:$B$200,2,FALSE),"代码未找到"))</x:f>
      </x:c>
      <x:c r="E190" s="11"/>
      <x:c r="F190" s="12"/>
      <x:c r="G190" s="13"/>
      <x:c r="H190" s="13"/>
      <x:c r="I190" s="11"/>
      <x:c r="J190" s="11"/>
      <x:c r="K190" s="10" t="str">
        <x:f t="shared" si="2">IF(A190="","",IF(OR(E190="买入",E190="定投",E190="转换转入"),-(F190+I190),IF(OR(E190="卖出",E190="转换转出"),IF(J190&lt;&gt;"",J190,F190-I190),IF(E190="现金分红",J190,0))))</x:f>
      </x:c>
      <x:c r="L190" s="11"/>
      <x:c r="M190" s="14"/>
    </x:row>
    <x:row r="191" ht="21" customHeight="1">
      <x:c r="A191" s="7"/>
      <x:c r="B191" s="8"/>
      <x:c r="C191" s="9"/>
      <x:c r="D191" s="10" t="str">
        <x:f>IF(C191="","",IFERROR(VLOOKUP(C191,'基金信息'!$A$6:$B$200,2,FALSE),"代码未找到"))</x:f>
      </x:c>
      <x:c r="E191" s="11"/>
      <x:c r="F191" s="12"/>
      <x:c r="G191" s="13"/>
      <x:c r="H191" s="13"/>
      <x:c r="I191" s="11"/>
      <x:c r="J191" s="11"/>
      <x:c r="K191" s="10" t="str">
        <x:f t="shared" si="2">IF(A191="","",IF(OR(E191="买入",E191="定投",E191="转换转入"),-(F191+I191),IF(OR(E191="卖出",E191="转换转出"),IF(J191&lt;&gt;"",J191,F191-I191),IF(E191="现金分红",J191,0))))</x:f>
      </x:c>
      <x:c r="L191" s="11"/>
      <x:c r="M191" s="14"/>
    </x:row>
    <x:row r="192" ht="21" customHeight="1">
      <x:c r="A192" s="7"/>
      <x:c r="B192" s="8"/>
      <x:c r="C192" s="9"/>
      <x:c r="D192" s="10" t="str">
        <x:f>IF(C192="","",IFERROR(VLOOKUP(C192,'基金信息'!$A$6:$B$200,2,FALSE),"代码未找到"))</x:f>
      </x:c>
      <x:c r="E192" s="11"/>
      <x:c r="F192" s="12"/>
      <x:c r="G192" s="13"/>
      <x:c r="H192" s="13"/>
      <x:c r="I192" s="11"/>
      <x:c r="J192" s="11"/>
      <x:c r="K192" s="10" t="str">
        <x:f t="shared" si="2">IF(A192="","",IF(OR(E192="买入",E192="定投",E192="转换转入"),-(F192+I192),IF(OR(E192="卖出",E192="转换转出"),IF(J192&lt;&gt;"",J192,F192-I192),IF(E192="现金分红",J192,0))))</x:f>
      </x:c>
      <x:c r="L192" s="11"/>
      <x:c r="M192" s="14"/>
    </x:row>
    <x:row r="193" ht="21" customHeight="1">
      <x:c r="A193" s="7"/>
      <x:c r="B193" s="8"/>
      <x:c r="C193" s="9"/>
      <x:c r="D193" s="10" t="str">
        <x:f>IF(C193="","",IFERROR(VLOOKUP(C193,'基金信息'!$A$6:$B$200,2,FALSE),"代码未找到"))</x:f>
      </x:c>
      <x:c r="E193" s="11"/>
      <x:c r="F193" s="12"/>
      <x:c r="G193" s="13"/>
      <x:c r="H193" s="13"/>
      <x:c r="I193" s="11"/>
      <x:c r="J193" s="11"/>
      <x:c r="K193" s="10" t="str">
        <x:f t="shared" si="2">IF(A193="","",IF(OR(E193="买入",E193="定投",E193="转换转入"),-(F193+I193),IF(OR(E193="卖出",E193="转换转出"),IF(J193&lt;&gt;"",J193,F193-I193),IF(E193="现金分红",J193,0))))</x:f>
      </x:c>
      <x:c r="L193" s="11"/>
      <x:c r="M193" s="14"/>
    </x:row>
    <x:row r="194" ht="21" customHeight="1">
      <x:c r="A194" s="7"/>
      <x:c r="B194" s="8"/>
      <x:c r="C194" s="9"/>
      <x:c r="D194" s="10" t="str">
        <x:f>IF(C194="","",IFERROR(VLOOKUP(C194,'基金信息'!$A$6:$B$200,2,FALSE),"代码未找到"))</x:f>
      </x:c>
      <x:c r="E194" s="11"/>
      <x:c r="F194" s="12"/>
      <x:c r="G194" s="13"/>
      <x:c r="H194" s="13"/>
      <x:c r="I194" s="11"/>
      <x:c r="J194" s="11"/>
      <x:c r="K194" s="10" t="str">
        <x:f t="shared" si="2">IF(A194="","",IF(OR(E194="买入",E194="定投",E194="转换转入"),-(F194+I194),IF(OR(E194="卖出",E194="转换转出"),IF(J194&lt;&gt;"",J194,F194-I194),IF(E194="现金分红",J194,0))))</x:f>
      </x:c>
      <x:c r="L194" s="11"/>
      <x:c r="M194" s="14"/>
    </x:row>
    <x:row r="195" ht="21" customHeight="1">
      <x:c r="A195" s="7"/>
      <x:c r="B195" s="8"/>
      <x:c r="C195" s="9"/>
      <x:c r="D195" s="10" t="str">
        <x:f>IF(C195="","",IFERROR(VLOOKUP(C195,'基金信息'!$A$6:$B$200,2,FALSE),"代码未找到"))</x:f>
      </x:c>
      <x:c r="E195" s="11"/>
      <x:c r="F195" s="12"/>
      <x:c r="G195" s="13"/>
      <x:c r="H195" s="13"/>
      <x:c r="I195" s="11"/>
      <x:c r="J195" s="11"/>
      <x:c r="K195" s="10" t="str">
        <x:f t="shared" si="2">IF(A195="","",IF(OR(E195="买入",E195="定投",E195="转换转入"),-(F195+I195),IF(OR(E195="卖出",E195="转换转出"),IF(J195&lt;&gt;"",J195,F195-I195),IF(E195="现金分红",J195,0))))</x:f>
      </x:c>
      <x:c r="L195" s="11"/>
      <x:c r="M195" s="14"/>
    </x:row>
    <x:row r="196" ht="21" customHeight="1">
      <x:c r="A196" s="7"/>
      <x:c r="B196" s="8"/>
      <x:c r="C196" s="9"/>
      <x:c r="D196" s="10" t="str">
        <x:f>IF(C196="","",IFERROR(VLOOKUP(C196,'基金信息'!$A$6:$B$200,2,FALSE),"代码未找到"))</x:f>
      </x:c>
      <x:c r="E196" s="11"/>
      <x:c r="F196" s="12"/>
      <x:c r="G196" s="13"/>
      <x:c r="H196" s="13"/>
      <x:c r="I196" s="11"/>
      <x:c r="J196" s="11"/>
      <x:c r="K196" s="10" t="str">
        <x:f t="shared" si="2">IF(A196="","",IF(OR(E196="买入",E196="定投",E196="转换转入"),-(F196+I196),IF(OR(E196="卖出",E196="转换转出"),IF(J196&lt;&gt;"",J196,F196-I196),IF(E196="现金分红",J196,0))))</x:f>
      </x:c>
      <x:c r="L196" s="11"/>
      <x:c r="M196" s="14"/>
    </x:row>
    <x:row r="197" ht="21" customHeight="1">
      <x:c r="A197" s="7"/>
      <x:c r="B197" s="8"/>
      <x:c r="C197" s="9"/>
      <x:c r="D197" s="10" t="str">
        <x:f>IF(C197="","",IFERROR(VLOOKUP(C197,'基金信息'!$A$6:$B$200,2,FALSE),"代码未找到"))</x:f>
      </x:c>
      <x:c r="E197" s="11"/>
      <x:c r="F197" s="12"/>
      <x:c r="G197" s="13"/>
      <x:c r="H197" s="13"/>
      <x:c r="I197" s="11"/>
      <x:c r="J197" s="11"/>
      <x:c r="K197" s="10" t="str">
        <x:f t="shared" ref="K197:K260" si="3">IF(A197="","",IF(OR(E197="买入",E197="定投",E197="转换转入"),-(F197+I197),IF(OR(E197="卖出",E197="转换转出"),IF(J197&lt;&gt;"",J197,F197-I197),IF(E197="现金分红",J197,0))))</x:f>
      </x:c>
      <x:c r="L197" s="11"/>
      <x:c r="M197" s="14"/>
    </x:row>
    <x:row r="198" ht="21" customHeight="1">
      <x:c r="A198" s="7"/>
      <x:c r="B198" s="8"/>
      <x:c r="C198" s="9"/>
      <x:c r="D198" s="10" t="str">
        <x:f>IF(C198="","",IFERROR(VLOOKUP(C198,'基金信息'!$A$6:$B$200,2,FALSE),"代码未找到"))</x:f>
      </x:c>
      <x:c r="E198" s="11"/>
      <x:c r="F198" s="12"/>
      <x:c r="G198" s="13"/>
      <x:c r="H198" s="13"/>
      <x:c r="I198" s="11"/>
      <x:c r="J198" s="11"/>
      <x:c r="K198" s="10" t="str">
        <x:f t="shared" si="3">IF(A198="","",IF(OR(E198="买入",E198="定投",E198="转换转入"),-(F198+I198),IF(OR(E198="卖出",E198="转换转出"),IF(J198&lt;&gt;"",J198,F198-I198),IF(E198="现金分红",J198,0))))</x:f>
      </x:c>
      <x:c r="L198" s="11"/>
      <x:c r="M198" s="14"/>
    </x:row>
    <x:row r="199" ht="21" customHeight="1">
      <x:c r="A199" s="7"/>
      <x:c r="B199" s="8"/>
      <x:c r="C199" s="9"/>
      <x:c r="D199" s="10" t="str">
        <x:f>IF(C199="","",IFERROR(VLOOKUP(C199,'基金信息'!$A$6:$B$200,2,FALSE),"代码未找到"))</x:f>
      </x:c>
      <x:c r="E199" s="11"/>
      <x:c r="F199" s="12"/>
      <x:c r="G199" s="13"/>
      <x:c r="H199" s="13"/>
      <x:c r="I199" s="11"/>
      <x:c r="J199" s="11"/>
      <x:c r="K199" s="10" t="str">
        <x:f t="shared" si="3">IF(A199="","",IF(OR(E199="买入",E199="定投",E199="转换转入"),-(F199+I199),IF(OR(E199="卖出",E199="转换转出"),IF(J199&lt;&gt;"",J199,F199-I199),IF(E199="现金分红",J199,0))))</x:f>
      </x:c>
      <x:c r="L199" s="11"/>
      <x:c r="M199" s="14"/>
    </x:row>
    <x:row r="200" ht="21" customHeight="1">
      <x:c r="A200" s="7"/>
      <x:c r="B200" s="8"/>
      <x:c r="C200" s="9"/>
      <x:c r="D200" s="10" t="str">
        <x:f>IF(C200="","",IFERROR(VLOOKUP(C200,'基金信息'!$A$6:$B$200,2,FALSE),"代码未找到"))</x:f>
      </x:c>
      <x:c r="E200" s="11"/>
      <x:c r="F200" s="12"/>
      <x:c r="G200" s="13"/>
      <x:c r="H200" s="13"/>
      <x:c r="I200" s="11"/>
      <x:c r="J200" s="11"/>
      <x:c r="K200" s="10" t="str">
        <x:f t="shared" si="3">IF(A200="","",IF(OR(E200="买入",E200="定投",E200="转换转入"),-(F200+I200),IF(OR(E200="卖出",E200="转换转出"),IF(J200&lt;&gt;"",J200,F200-I200),IF(E200="现金分红",J200,0))))</x:f>
      </x:c>
      <x:c r="L200" s="11"/>
      <x:c r="M200" s="14"/>
    </x:row>
    <x:row r="201" ht="21" customHeight="1">
      <x:c r="A201" s="7"/>
      <x:c r="B201" s="8"/>
      <x:c r="C201" s="9"/>
      <x:c r="D201" s="10" t="str">
        <x:f>IF(C201="","",IFERROR(VLOOKUP(C201,'基金信息'!$A$6:$B$200,2,FALSE),"代码未找到"))</x:f>
      </x:c>
      <x:c r="E201" s="11"/>
      <x:c r="F201" s="12"/>
      <x:c r="G201" s="13"/>
      <x:c r="H201" s="13"/>
      <x:c r="I201" s="11"/>
      <x:c r="J201" s="11"/>
      <x:c r="K201" s="10" t="str">
        <x:f t="shared" si="3">IF(A201="","",IF(OR(E201="买入",E201="定投",E201="转换转入"),-(F201+I201),IF(OR(E201="卖出",E201="转换转出"),IF(J201&lt;&gt;"",J201,F201-I201),IF(E201="现金分红",J201,0))))</x:f>
      </x:c>
      <x:c r="L201" s="11"/>
      <x:c r="M201" s="14"/>
    </x:row>
    <x:row r="202" ht="21" customHeight="1">
      <x:c r="A202" s="7"/>
      <x:c r="B202" s="8"/>
      <x:c r="C202" s="9"/>
      <x:c r="D202" s="10" t="str">
        <x:f>IF(C202="","",IFERROR(VLOOKUP(C202,'基金信息'!$A$6:$B$200,2,FALSE),"代码未找到"))</x:f>
      </x:c>
      <x:c r="E202" s="11"/>
      <x:c r="F202" s="12"/>
      <x:c r="G202" s="13"/>
      <x:c r="H202" s="13"/>
      <x:c r="I202" s="11"/>
      <x:c r="J202" s="11"/>
      <x:c r="K202" s="10" t="str">
        <x:f t="shared" si="3">IF(A202="","",IF(OR(E202="买入",E202="定投",E202="转换转入"),-(F202+I202),IF(OR(E202="卖出",E202="转换转出"),IF(J202&lt;&gt;"",J202,F202-I202),IF(E202="现金分红",J202,0))))</x:f>
      </x:c>
      <x:c r="L202" s="11"/>
      <x:c r="M202" s="14"/>
    </x:row>
    <x:row r="203" ht="21" customHeight="1">
      <x:c r="A203" s="7"/>
      <x:c r="B203" s="8"/>
      <x:c r="C203" s="9"/>
      <x:c r="D203" s="10" t="str">
        <x:f>IF(C203="","",IFERROR(VLOOKUP(C203,'基金信息'!$A$6:$B$200,2,FALSE),"代码未找到"))</x:f>
      </x:c>
      <x:c r="E203" s="11"/>
      <x:c r="F203" s="12"/>
      <x:c r="G203" s="13"/>
      <x:c r="H203" s="13"/>
      <x:c r="I203" s="11"/>
      <x:c r="J203" s="11"/>
      <x:c r="K203" s="10" t="str">
        <x:f t="shared" si="3">IF(A203="","",IF(OR(E203="买入",E203="定投",E203="转换转入"),-(F203+I203),IF(OR(E203="卖出",E203="转换转出"),IF(J203&lt;&gt;"",J203,F203-I203),IF(E203="现金分红",J203,0))))</x:f>
      </x:c>
      <x:c r="L203" s="11"/>
      <x:c r="M203" s="14"/>
    </x:row>
    <x:row r="204" ht="21" customHeight="1">
      <x:c r="A204" s="7"/>
      <x:c r="B204" s="8"/>
      <x:c r="C204" s="9"/>
      <x:c r="D204" s="10" t="str">
        <x:f>IF(C204="","",IFERROR(VLOOKUP(C204,'基金信息'!$A$6:$B$200,2,FALSE),"代码未找到"))</x:f>
      </x:c>
      <x:c r="E204" s="11"/>
      <x:c r="F204" s="12"/>
      <x:c r="G204" s="13"/>
      <x:c r="H204" s="13"/>
      <x:c r="I204" s="11"/>
      <x:c r="J204" s="11"/>
      <x:c r="K204" s="10" t="str">
        <x:f t="shared" si="3">IF(A204="","",IF(OR(E204="买入",E204="定投",E204="转换转入"),-(F204+I204),IF(OR(E204="卖出",E204="转换转出"),IF(J204&lt;&gt;"",J204,F204-I204),IF(E204="现金分红",J204,0))))</x:f>
      </x:c>
      <x:c r="L204" s="11"/>
      <x:c r="M204" s="14"/>
    </x:row>
    <x:row r="205" ht="21" customHeight="1">
      <x:c r="A205" s="7"/>
      <x:c r="B205" s="8"/>
      <x:c r="C205" s="9"/>
      <x:c r="D205" s="10" t="str">
        <x:f>IF(C205="","",IFERROR(VLOOKUP(C205,'基金信息'!$A$6:$B$200,2,FALSE),"代码未找到"))</x:f>
      </x:c>
      <x:c r="E205" s="11"/>
      <x:c r="F205" s="12"/>
      <x:c r="G205" s="13"/>
      <x:c r="H205" s="13"/>
      <x:c r="I205" s="11"/>
      <x:c r="J205" s="11"/>
      <x:c r="K205" s="10" t="str">
        <x:f t="shared" si="3">IF(A205="","",IF(OR(E205="买入",E205="定投",E205="转换转入"),-(F205+I205),IF(OR(E205="卖出",E205="转换转出"),IF(J205&lt;&gt;"",J205,F205-I205),IF(E205="现金分红",J205,0))))</x:f>
      </x:c>
      <x:c r="L205" s="11"/>
      <x:c r="M205" s="14"/>
    </x:row>
    <x:row r="206" ht="21" customHeight="1">
      <x:c r="A206" s="7"/>
      <x:c r="B206" s="8"/>
      <x:c r="C206" s="9"/>
      <x:c r="D206" s="10" t="str">
        <x:f>IF(C206="","",IFERROR(VLOOKUP(C206,'基金信息'!$A$6:$B$200,2,FALSE),"代码未找到"))</x:f>
      </x:c>
      <x:c r="E206" s="11"/>
      <x:c r="F206" s="12"/>
      <x:c r="G206" s="13"/>
      <x:c r="H206" s="13"/>
      <x:c r="I206" s="11"/>
      <x:c r="J206" s="11"/>
      <x:c r="K206" s="10" t="str">
        <x:f t="shared" si="3">IF(A206="","",IF(OR(E206="买入",E206="定投",E206="转换转入"),-(F206+I206),IF(OR(E206="卖出",E206="转换转出"),IF(J206&lt;&gt;"",J206,F206-I206),IF(E206="现金分红",J206,0))))</x:f>
      </x:c>
      <x:c r="L206" s="11"/>
      <x:c r="M206" s="14"/>
    </x:row>
    <x:row r="207" ht="21" customHeight="1">
      <x:c r="A207" s="7"/>
      <x:c r="B207" s="8"/>
      <x:c r="C207" s="9"/>
      <x:c r="D207" s="10" t="str">
        <x:f>IF(C207="","",IFERROR(VLOOKUP(C207,'基金信息'!$A$6:$B$200,2,FALSE),"代码未找到"))</x:f>
      </x:c>
      <x:c r="E207" s="11"/>
      <x:c r="F207" s="12"/>
      <x:c r="G207" s="13"/>
      <x:c r="H207" s="13"/>
      <x:c r="I207" s="11"/>
      <x:c r="J207" s="11"/>
      <x:c r="K207" s="10" t="str">
        <x:f t="shared" si="3">IF(A207="","",IF(OR(E207="买入",E207="定投",E207="转换转入"),-(F207+I207),IF(OR(E207="卖出",E207="转换转出"),IF(J207&lt;&gt;"",J207,F207-I207),IF(E207="现金分红",J207,0))))</x:f>
      </x:c>
      <x:c r="L207" s="11"/>
      <x:c r="M207" s="14"/>
    </x:row>
    <x:row r="208" ht="21" customHeight="1">
      <x:c r="A208" s="7"/>
      <x:c r="B208" s="8"/>
      <x:c r="C208" s="9"/>
      <x:c r="D208" s="10" t="str">
        <x:f>IF(C208="","",IFERROR(VLOOKUP(C208,'基金信息'!$A$6:$B$200,2,FALSE),"代码未找到"))</x:f>
      </x:c>
      <x:c r="E208" s="11"/>
      <x:c r="F208" s="12"/>
      <x:c r="G208" s="13"/>
      <x:c r="H208" s="13"/>
      <x:c r="I208" s="11"/>
      <x:c r="J208" s="11"/>
      <x:c r="K208" s="10" t="str">
        <x:f t="shared" si="3">IF(A208="","",IF(OR(E208="买入",E208="定投",E208="转换转入"),-(F208+I208),IF(OR(E208="卖出",E208="转换转出"),IF(J208&lt;&gt;"",J208,F208-I208),IF(E208="现金分红",J208,0))))</x:f>
      </x:c>
      <x:c r="L208" s="11"/>
      <x:c r="M208" s="14"/>
    </x:row>
    <x:row r="209" ht="21" customHeight="1">
      <x:c r="A209" s="7"/>
      <x:c r="B209" s="8"/>
      <x:c r="C209" s="9"/>
      <x:c r="D209" s="10" t="str">
        <x:f>IF(C209="","",IFERROR(VLOOKUP(C209,'基金信息'!$A$6:$B$200,2,FALSE),"代码未找到"))</x:f>
      </x:c>
      <x:c r="E209" s="11"/>
      <x:c r="F209" s="12"/>
      <x:c r="G209" s="13"/>
      <x:c r="H209" s="13"/>
      <x:c r="I209" s="11"/>
      <x:c r="J209" s="11"/>
      <x:c r="K209" s="10" t="str">
        <x:f t="shared" si="3">IF(A209="","",IF(OR(E209="买入",E209="定投",E209="转换转入"),-(F209+I209),IF(OR(E209="卖出",E209="转换转出"),IF(J209&lt;&gt;"",J209,F209-I209),IF(E209="现金分红",J209,0))))</x:f>
      </x:c>
      <x:c r="L209" s="11"/>
      <x:c r="M209" s="14"/>
    </x:row>
    <x:row r="210" ht="21" customHeight="1">
      <x:c r="A210" s="7"/>
      <x:c r="B210" s="8"/>
      <x:c r="C210" s="9"/>
      <x:c r="D210" s="10" t="str">
        <x:f>IF(C210="","",IFERROR(VLOOKUP(C210,'基金信息'!$A$6:$B$200,2,FALSE),"代码未找到"))</x:f>
      </x:c>
      <x:c r="E210" s="11"/>
      <x:c r="F210" s="12"/>
      <x:c r="G210" s="13"/>
      <x:c r="H210" s="13"/>
      <x:c r="I210" s="11"/>
      <x:c r="J210" s="11"/>
      <x:c r="K210" s="10" t="str">
        <x:f t="shared" si="3">IF(A210="","",IF(OR(E210="买入",E210="定投",E210="转换转入"),-(F210+I210),IF(OR(E210="卖出",E210="转换转出"),IF(J210&lt;&gt;"",J210,F210-I210),IF(E210="现金分红",J210,0))))</x:f>
      </x:c>
      <x:c r="L210" s="11"/>
      <x:c r="M210" s="14"/>
    </x:row>
    <x:row r="211" ht="21" customHeight="1">
      <x:c r="A211" s="7"/>
      <x:c r="B211" s="8"/>
      <x:c r="C211" s="9"/>
      <x:c r="D211" s="10" t="str">
        <x:f>IF(C211="","",IFERROR(VLOOKUP(C211,'基金信息'!$A$6:$B$200,2,FALSE),"代码未找到"))</x:f>
      </x:c>
      <x:c r="E211" s="11"/>
      <x:c r="F211" s="12"/>
      <x:c r="G211" s="13"/>
      <x:c r="H211" s="13"/>
      <x:c r="I211" s="11"/>
      <x:c r="J211" s="11"/>
      <x:c r="K211" s="10" t="str">
        <x:f t="shared" si="3">IF(A211="","",IF(OR(E211="买入",E211="定投",E211="转换转入"),-(F211+I211),IF(OR(E211="卖出",E211="转换转出"),IF(J211&lt;&gt;"",J211,F211-I211),IF(E211="现金分红",J211,0))))</x:f>
      </x:c>
      <x:c r="L211" s="11"/>
      <x:c r="M211" s="14"/>
    </x:row>
    <x:row r="212" ht="21" customHeight="1">
      <x:c r="A212" s="7"/>
      <x:c r="B212" s="8"/>
      <x:c r="C212" s="9"/>
      <x:c r="D212" s="10" t="str">
        <x:f>IF(C212="","",IFERROR(VLOOKUP(C212,'基金信息'!$A$6:$B$200,2,FALSE),"代码未找到"))</x:f>
      </x:c>
      <x:c r="E212" s="11"/>
      <x:c r="F212" s="12"/>
      <x:c r="G212" s="13"/>
      <x:c r="H212" s="13"/>
      <x:c r="I212" s="11"/>
      <x:c r="J212" s="11"/>
      <x:c r="K212" s="10" t="str">
        <x:f t="shared" si="3">IF(A212="","",IF(OR(E212="买入",E212="定投",E212="转换转入"),-(F212+I212),IF(OR(E212="卖出",E212="转换转出"),IF(J212&lt;&gt;"",J212,F212-I212),IF(E212="现金分红",J212,0))))</x:f>
      </x:c>
      <x:c r="L212" s="11"/>
      <x:c r="M212" s="14"/>
    </x:row>
    <x:row r="213" ht="21" customHeight="1">
      <x:c r="A213" s="7"/>
      <x:c r="B213" s="8"/>
      <x:c r="C213" s="9"/>
      <x:c r="D213" s="10" t="str">
        <x:f>IF(C213="","",IFERROR(VLOOKUP(C213,'基金信息'!$A$6:$B$200,2,FALSE),"代码未找到"))</x:f>
      </x:c>
      <x:c r="E213" s="11"/>
      <x:c r="F213" s="12"/>
      <x:c r="G213" s="13"/>
      <x:c r="H213" s="13"/>
      <x:c r="I213" s="11"/>
      <x:c r="J213" s="11"/>
      <x:c r="K213" s="10" t="str">
        <x:f t="shared" si="3">IF(A213="","",IF(OR(E213="买入",E213="定投",E213="转换转入"),-(F213+I213),IF(OR(E213="卖出",E213="转换转出"),IF(J213&lt;&gt;"",J213,F213-I213),IF(E213="现金分红",J213,0))))</x:f>
      </x:c>
      <x:c r="L213" s="11"/>
      <x:c r="M213" s="14"/>
    </x:row>
    <x:row r="214" ht="21" customHeight="1">
      <x:c r="A214" s="7"/>
      <x:c r="B214" s="8"/>
      <x:c r="C214" s="9"/>
      <x:c r="D214" s="10" t="str">
        <x:f>IF(C214="","",IFERROR(VLOOKUP(C214,'基金信息'!$A$6:$B$200,2,FALSE),"代码未找到"))</x:f>
      </x:c>
      <x:c r="E214" s="11"/>
      <x:c r="F214" s="12"/>
      <x:c r="G214" s="13"/>
      <x:c r="H214" s="13"/>
      <x:c r="I214" s="11"/>
      <x:c r="J214" s="11"/>
      <x:c r="K214" s="10" t="str">
        <x:f t="shared" si="3">IF(A214="","",IF(OR(E214="买入",E214="定投",E214="转换转入"),-(F214+I214),IF(OR(E214="卖出",E214="转换转出"),IF(J214&lt;&gt;"",J214,F214-I214),IF(E214="现金分红",J214,0))))</x:f>
      </x:c>
      <x:c r="L214" s="11"/>
      <x:c r="M214" s="14"/>
    </x:row>
    <x:row r="215" ht="21" customHeight="1">
      <x:c r="A215" s="7"/>
      <x:c r="B215" s="8"/>
      <x:c r="C215" s="9"/>
      <x:c r="D215" s="10" t="str">
        <x:f>IF(C215="","",IFERROR(VLOOKUP(C215,'基金信息'!$A$6:$B$200,2,FALSE),"代码未找到"))</x:f>
      </x:c>
      <x:c r="E215" s="11"/>
      <x:c r="F215" s="12"/>
      <x:c r="G215" s="13"/>
      <x:c r="H215" s="13"/>
      <x:c r="I215" s="11"/>
      <x:c r="J215" s="11"/>
      <x:c r="K215" s="10" t="str">
        <x:f t="shared" si="3">IF(A215="","",IF(OR(E215="买入",E215="定投",E215="转换转入"),-(F215+I215),IF(OR(E215="卖出",E215="转换转出"),IF(J215&lt;&gt;"",J215,F215-I215),IF(E215="现金分红",J215,0))))</x:f>
      </x:c>
      <x:c r="L215" s="11"/>
      <x:c r="M215" s="14"/>
    </x:row>
    <x:row r="216" ht="21" customHeight="1">
      <x:c r="A216" s="7"/>
      <x:c r="B216" s="8"/>
      <x:c r="C216" s="9"/>
      <x:c r="D216" s="10" t="str">
        <x:f>IF(C216="","",IFERROR(VLOOKUP(C216,'基金信息'!$A$6:$B$200,2,FALSE),"代码未找到"))</x:f>
      </x:c>
      <x:c r="E216" s="11"/>
      <x:c r="F216" s="12"/>
      <x:c r="G216" s="13"/>
      <x:c r="H216" s="13"/>
      <x:c r="I216" s="11"/>
      <x:c r="J216" s="11"/>
      <x:c r="K216" s="10" t="str">
        <x:f t="shared" si="3">IF(A216="","",IF(OR(E216="买入",E216="定投",E216="转换转入"),-(F216+I216),IF(OR(E216="卖出",E216="转换转出"),IF(J216&lt;&gt;"",J216,F216-I216),IF(E216="现金分红",J216,0))))</x:f>
      </x:c>
      <x:c r="L216" s="11"/>
      <x:c r="M216" s="14"/>
    </x:row>
    <x:row r="217" ht="21" customHeight="1">
      <x:c r="A217" s="7"/>
      <x:c r="B217" s="8"/>
      <x:c r="C217" s="9"/>
      <x:c r="D217" s="10" t="str">
        <x:f>IF(C217="","",IFERROR(VLOOKUP(C217,'基金信息'!$A$6:$B$200,2,FALSE),"代码未找到"))</x:f>
      </x:c>
      <x:c r="E217" s="11"/>
      <x:c r="F217" s="12"/>
      <x:c r="G217" s="13"/>
      <x:c r="H217" s="13"/>
      <x:c r="I217" s="11"/>
      <x:c r="J217" s="11"/>
      <x:c r="K217" s="10" t="str">
        <x:f t="shared" si="3">IF(A217="","",IF(OR(E217="买入",E217="定投",E217="转换转入"),-(F217+I217),IF(OR(E217="卖出",E217="转换转出"),IF(J217&lt;&gt;"",J217,F217-I217),IF(E217="现金分红",J217,0))))</x:f>
      </x:c>
      <x:c r="L217" s="11"/>
      <x:c r="M217" s="14"/>
    </x:row>
    <x:row r="218" ht="21" customHeight="1">
      <x:c r="A218" s="7"/>
      <x:c r="B218" s="8"/>
      <x:c r="C218" s="9"/>
      <x:c r="D218" s="10" t="str">
        <x:f>IF(C218="","",IFERROR(VLOOKUP(C218,'基金信息'!$A$6:$B$200,2,FALSE),"代码未找到"))</x:f>
      </x:c>
      <x:c r="E218" s="11"/>
      <x:c r="F218" s="12"/>
      <x:c r="G218" s="13"/>
      <x:c r="H218" s="13"/>
      <x:c r="I218" s="11"/>
      <x:c r="J218" s="11"/>
      <x:c r="K218" s="10" t="str">
        <x:f t="shared" si="3">IF(A218="","",IF(OR(E218="买入",E218="定投",E218="转换转入"),-(F218+I218),IF(OR(E218="卖出",E218="转换转出"),IF(J218&lt;&gt;"",J218,F218-I218),IF(E218="现金分红",J218,0))))</x:f>
      </x:c>
      <x:c r="L218" s="11"/>
      <x:c r="M218" s="14"/>
    </x:row>
    <x:row r="219" ht="21" customHeight="1">
      <x:c r="A219" s="7"/>
      <x:c r="B219" s="8"/>
      <x:c r="C219" s="9"/>
      <x:c r="D219" s="10" t="str">
        <x:f>IF(C219="","",IFERROR(VLOOKUP(C219,'基金信息'!$A$6:$B$200,2,FALSE),"代码未找到"))</x:f>
      </x:c>
      <x:c r="E219" s="11"/>
      <x:c r="F219" s="12"/>
      <x:c r="G219" s="13"/>
      <x:c r="H219" s="13"/>
      <x:c r="I219" s="11"/>
      <x:c r="J219" s="11"/>
      <x:c r="K219" s="10" t="str">
        <x:f t="shared" si="3">IF(A219="","",IF(OR(E219="买入",E219="定投",E219="转换转入"),-(F219+I219),IF(OR(E219="卖出",E219="转换转出"),IF(J219&lt;&gt;"",J219,F219-I219),IF(E219="现金分红",J219,0))))</x:f>
      </x:c>
      <x:c r="L219" s="11"/>
      <x:c r="M219" s="14"/>
    </x:row>
    <x:row r="220" ht="21" customHeight="1">
      <x:c r="A220" s="7"/>
      <x:c r="B220" s="8"/>
      <x:c r="C220" s="9"/>
      <x:c r="D220" s="10" t="str">
        <x:f>IF(C220="","",IFERROR(VLOOKUP(C220,'基金信息'!$A$6:$B$200,2,FALSE),"代码未找到"))</x:f>
      </x:c>
      <x:c r="E220" s="11"/>
      <x:c r="F220" s="12"/>
      <x:c r="G220" s="13"/>
      <x:c r="H220" s="13"/>
      <x:c r="I220" s="11"/>
      <x:c r="J220" s="11"/>
      <x:c r="K220" s="10" t="str">
        <x:f t="shared" si="3">IF(A220="","",IF(OR(E220="买入",E220="定投",E220="转换转入"),-(F220+I220),IF(OR(E220="卖出",E220="转换转出"),IF(J220&lt;&gt;"",J220,F220-I220),IF(E220="现金分红",J220,0))))</x:f>
      </x:c>
      <x:c r="L220" s="11"/>
      <x:c r="M220" s="14"/>
    </x:row>
    <x:row r="221" ht="21" customHeight="1">
      <x:c r="A221" s="7"/>
      <x:c r="B221" s="8"/>
      <x:c r="C221" s="9"/>
      <x:c r="D221" s="10" t="str">
        <x:f>IF(C221="","",IFERROR(VLOOKUP(C221,'基金信息'!$A$6:$B$200,2,FALSE),"代码未找到"))</x:f>
      </x:c>
      <x:c r="E221" s="11"/>
      <x:c r="F221" s="12"/>
      <x:c r="G221" s="13"/>
      <x:c r="H221" s="13"/>
      <x:c r="I221" s="11"/>
      <x:c r="J221" s="11"/>
      <x:c r="K221" s="10" t="str">
        <x:f t="shared" si="3">IF(A221="","",IF(OR(E221="买入",E221="定投",E221="转换转入"),-(F221+I221),IF(OR(E221="卖出",E221="转换转出"),IF(J221&lt;&gt;"",J221,F221-I221),IF(E221="现金分红",J221,0))))</x:f>
      </x:c>
      <x:c r="L221" s="11"/>
      <x:c r="M221" s="14"/>
    </x:row>
    <x:row r="222" ht="21" customHeight="1">
      <x:c r="A222" s="7"/>
      <x:c r="B222" s="8"/>
      <x:c r="C222" s="9"/>
      <x:c r="D222" s="10" t="str">
        <x:f>IF(C222="","",IFERROR(VLOOKUP(C222,'基金信息'!$A$6:$B$200,2,FALSE),"代码未找到"))</x:f>
      </x:c>
      <x:c r="E222" s="11"/>
      <x:c r="F222" s="12"/>
      <x:c r="G222" s="13"/>
      <x:c r="H222" s="13"/>
      <x:c r="I222" s="11"/>
      <x:c r="J222" s="11"/>
      <x:c r="K222" s="10" t="str">
        <x:f t="shared" si="3">IF(A222="","",IF(OR(E222="买入",E222="定投",E222="转换转入"),-(F222+I222),IF(OR(E222="卖出",E222="转换转出"),IF(J222&lt;&gt;"",J222,F222-I222),IF(E222="现金分红",J222,0))))</x:f>
      </x:c>
      <x:c r="L222" s="11"/>
      <x:c r="M222" s="14"/>
    </x:row>
    <x:row r="223" ht="21" customHeight="1">
      <x:c r="A223" s="7"/>
      <x:c r="B223" s="8"/>
      <x:c r="C223" s="9"/>
      <x:c r="D223" s="10" t="str">
        <x:f>IF(C223="","",IFERROR(VLOOKUP(C223,'基金信息'!$A$6:$B$200,2,FALSE),"代码未找到"))</x:f>
      </x:c>
      <x:c r="E223" s="11"/>
      <x:c r="F223" s="12"/>
      <x:c r="G223" s="13"/>
      <x:c r="H223" s="13"/>
      <x:c r="I223" s="11"/>
      <x:c r="J223" s="11"/>
      <x:c r="K223" s="10" t="str">
        <x:f t="shared" si="3">IF(A223="","",IF(OR(E223="买入",E223="定投",E223="转换转入"),-(F223+I223),IF(OR(E223="卖出",E223="转换转出"),IF(J223&lt;&gt;"",J223,F223-I223),IF(E223="现金分红",J223,0))))</x:f>
      </x:c>
      <x:c r="L223" s="11"/>
      <x:c r="M223" s="14"/>
    </x:row>
    <x:row r="224" ht="21" customHeight="1">
      <x:c r="A224" s="7"/>
      <x:c r="B224" s="8"/>
      <x:c r="C224" s="9"/>
      <x:c r="D224" s="10" t="str">
        <x:f>IF(C224="","",IFERROR(VLOOKUP(C224,'基金信息'!$A$6:$B$200,2,FALSE),"代码未找到"))</x:f>
      </x:c>
      <x:c r="E224" s="11"/>
      <x:c r="F224" s="12"/>
      <x:c r="G224" s="13"/>
      <x:c r="H224" s="13"/>
      <x:c r="I224" s="11"/>
      <x:c r="J224" s="11"/>
      <x:c r="K224" s="10" t="str">
        <x:f t="shared" si="3">IF(A224="","",IF(OR(E224="买入",E224="定投",E224="转换转入"),-(F224+I224),IF(OR(E224="卖出",E224="转换转出"),IF(J224&lt;&gt;"",J224,F224-I224),IF(E224="现金分红",J224,0))))</x:f>
      </x:c>
      <x:c r="L224" s="11"/>
      <x:c r="M224" s="14"/>
    </x:row>
    <x:row r="225" ht="21" customHeight="1">
      <x:c r="A225" s="7"/>
      <x:c r="B225" s="8"/>
      <x:c r="C225" s="9"/>
      <x:c r="D225" s="10" t="str">
        <x:f>IF(C225="","",IFERROR(VLOOKUP(C225,'基金信息'!$A$6:$B$200,2,FALSE),"代码未找到"))</x:f>
      </x:c>
      <x:c r="E225" s="11"/>
      <x:c r="F225" s="12"/>
      <x:c r="G225" s="13"/>
      <x:c r="H225" s="13"/>
      <x:c r="I225" s="11"/>
      <x:c r="J225" s="11"/>
      <x:c r="K225" s="10" t="str">
        <x:f t="shared" si="3">IF(A225="","",IF(OR(E225="买入",E225="定投",E225="转换转入"),-(F225+I225),IF(OR(E225="卖出",E225="转换转出"),IF(J225&lt;&gt;"",J225,F225-I225),IF(E225="现金分红",J225,0))))</x:f>
      </x:c>
      <x:c r="L225" s="11"/>
      <x:c r="M225" s="14"/>
    </x:row>
    <x:row r="226" ht="21" customHeight="1">
      <x:c r="A226" s="7"/>
      <x:c r="B226" s="8"/>
      <x:c r="C226" s="9"/>
      <x:c r="D226" s="10" t="str">
        <x:f>IF(C226="","",IFERROR(VLOOKUP(C226,'基金信息'!$A$6:$B$200,2,FALSE),"代码未找到"))</x:f>
      </x:c>
      <x:c r="E226" s="11"/>
      <x:c r="F226" s="12"/>
      <x:c r="G226" s="13"/>
      <x:c r="H226" s="13"/>
      <x:c r="I226" s="11"/>
      <x:c r="J226" s="11"/>
      <x:c r="K226" s="10" t="str">
        <x:f t="shared" si="3">IF(A226="","",IF(OR(E226="买入",E226="定投",E226="转换转入"),-(F226+I226),IF(OR(E226="卖出",E226="转换转出"),IF(J226&lt;&gt;"",J226,F226-I226),IF(E226="现金分红",J226,0))))</x:f>
      </x:c>
      <x:c r="L226" s="11"/>
      <x:c r="M226" s="14"/>
    </x:row>
    <x:row r="227" ht="21" customHeight="1">
      <x:c r="A227" s="7"/>
      <x:c r="B227" s="8"/>
      <x:c r="C227" s="9"/>
      <x:c r="D227" s="10" t="str">
        <x:f>IF(C227="","",IFERROR(VLOOKUP(C227,'基金信息'!$A$6:$B$200,2,FALSE),"代码未找到"))</x:f>
      </x:c>
      <x:c r="E227" s="11"/>
      <x:c r="F227" s="12"/>
      <x:c r="G227" s="13"/>
      <x:c r="H227" s="13"/>
      <x:c r="I227" s="11"/>
      <x:c r="J227" s="11"/>
      <x:c r="K227" s="10" t="str">
        <x:f t="shared" si="3">IF(A227="","",IF(OR(E227="买入",E227="定投",E227="转换转入"),-(F227+I227),IF(OR(E227="卖出",E227="转换转出"),IF(J227&lt;&gt;"",J227,F227-I227),IF(E227="现金分红",J227,0))))</x:f>
      </x:c>
      <x:c r="L227" s="11"/>
      <x:c r="M227" s="14"/>
    </x:row>
    <x:row r="228" ht="21" customHeight="1">
      <x:c r="A228" s="7"/>
      <x:c r="B228" s="8"/>
      <x:c r="C228" s="9"/>
      <x:c r="D228" s="10" t="str">
        <x:f>IF(C228="","",IFERROR(VLOOKUP(C228,'基金信息'!$A$6:$B$200,2,FALSE),"代码未找到"))</x:f>
      </x:c>
      <x:c r="E228" s="11"/>
      <x:c r="F228" s="12"/>
      <x:c r="G228" s="13"/>
      <x:c r="H228" s="13"/>
      <x:c r="I228" s="11"/>
      <x:c r="J228" s="11"/>
      <x:c r="K228" s="10" t="str">
        <x:f t="shared" si="3">IF(A228="","",IF(OR(E228="买入",E228="定投",E228="转换转入"),-(F228+I228),IF(OR(E228="卖出",E228="转换转出"),IF(J228&lt;&gt;"",J228,F228-I228),IF(E228="现金分红",J228,0))))</x:f>
      </x:c>
      <x:c r="L228" s="11"/>
      <x:c r="M228" s="14"/>
    </x:row>
    <x:row r="229" ht="21" customHeight="1">
      <x:c r="A229" s="7"/>
      <x:c r="B229" s="8"/>
      <x:c r="C229" s="9"/>
      <x:c r="D229" s="10" t="str">
        <x:f>IF(C229="","",IFERROR(VLOOKUP(C229,'基金信息'!$A$6:$B$200,2,FALSE),"代码未找到"))</x:f>
      </x:c>
      <x:c r="E229" s="11"/>
      <x:c r="F229" s="12"/>
      <x:c r="G229" s="13"/>
      <x:c r="H229" s="13"/>
      <x:c r="I229" s="11"/>
      <x:c r="J229" s="11"/>
      <x:c r="K229" s="10" t="str">
        <x:f t="shared" si="3">IF(A229="","",IF(OR(E229="买入",E229="定投",E229="转换转入"),-(F229+I229),IF(OR(E229="卖出",E229="转换转出"),IF(J229&lt;&gt;"",J229,F229-I229),IF(E229="现金分红",J229,0))))</x:f>
      </x:c>
      <x:c r="L229" s="11"/>
      <x:c r="M229" s="14"/>
    </x:row>
    <x:row r="230" ht="21" customHeight="1">
      <x:c r="A230" s="7"/>
      <x:c r="B230" s="8"/>
      <x:c r="C230" s="9"/>
      <x:c r="D230" s="10" t="str">
        <x:f>IF(C230="","",IFERROR(VLOOKUP(C230,'基金信息'!$A$6:$B$200,2,FALSE),"代码未找到"))</x:f>
      </x:c>
      <x:c r="E230" s="11"/>
      <x:c r="F230" s="12"/>
      <x:c r="G230" s="13"/>
      <x:c r="H230" s="13"/>
      <x:c r="I230" s="11"/>
      <x:c r="J230" s="11"/>
      <x:c r="K230" s="10" t="str">
        <x:f t="shared" si="3">IF(A230="","",IF(OR(E230="买入",E230="定投",E230="转换转入"),-(F230+I230),IF(OR(E230="卖出",E230="转换转出"),IF(J230&lt;&gt;"",J230,F230-I230),IF(E230="现金分红",J230,0))))</x:f>
      </x:c>
      <x:c r="L230" s="11"/>
      <x:c r="M230" s="14"/>
    </x:row>
    <x:row r="231" ht="21" customHeight="1">
      <x:c r="A231" s="7"/>
      <x:c r="B231" s="8"/>
      <x:c r="C231" s="9"/>
      <x:c r="D231" s="10" t="str">
        <x:f>IF(C231="","",IFERROR(VLOOKUP(C231,'基金信息'!$A$6:$B$200,2,FALSE),"代码未找到"))</x:f>
      </x:c>
      <x:c r="E231" s="11"/>
      <x:c r="F231" s="12"/>
      <x:c r="G231" s="13"/>
      <x:c r="H231" s="13"/>
      <x:c r="I231" s="11"/>
      <x:c r="J231" s="11"/>
      <x:c r="K231" s="10" t="str">
        <x:f t="shared" si="3">IF(A231="","",IF(OR(E231="买入",E231="定投",E231="转换转入"),-(F231+I231),IF(OR(E231="卖出",E231="转换转出"),IF(J231&lt;&gt;"",J231,F231-I231),IF(E231="现金分红",J231,0))))</x:f>
      </x:c>
      <x:c r="L231" s="11"/>
      <x:c r="M231" s="14"/>
    </x:row>
    <x:row r="232" ht="21" customHeight="1">
      <x:c r="A232" s="7"/>
      <x:c r="B232" s="8"/>
      <x:c r="C232" s="9"/>
      <x:c r="D232" s="10" t="str">
        <x:f>IF(C232="","",IFERROR(VLOOKUP(C232,'基金信息'!$A$6:$B$200,2,FALSE),"代码未找到"))</x:f>
      </x:c>
      <x:c r="E232" s="11"/>
      <x:c r="F232" s="12"/>
      <x:c r="G232" s="13"/>
      <x:c r="H232" s="13"/>
      <x:c r="I232" s="11"/>
      <x:c r="J232" s="11"/>
      <x:c r="K232" s="10" t="str">
        <x:f t="shared" si="3">IF(A232="","",IF(OR(E232="买入",E232="定投",E232="转换转入"),-(F232+I232),IF(OR(E232="卖出",E232="转换转出"),IF(J232&lt;&gt;"",J232,F232-I232),IF(E232="现金分红",J232,0))))</x:f>
      </x:c>
      <x:c r="L232" s="11"/>
      <x:c r="M232" s="14"/>
    </x:row>
    <x:row r="233" ht="21" customHeight="1">
      <x:c r="A233" s="7"/>
      <x:c r="B233" s="8"/>
      <x:c r="C233" s="9"/>
      <x:c r="D233" s="10" t="str">
        <x:f>IF(C233="","",IFERROR(VLOOKUP(C233,'基金信息'!$A$6:$B$200,2,FALSE),"代码未找到"))</x:f>
      </x:c>
      <x:c r="E233" s="11"/>
      <x:c r="F233" s="12"/>
      <x:c r="G233" s="13"/>
      <x:c r="H233" s="13"/>
      <x:c r="I233" s="11"/>
      <x:c r="J233" s="11"/>
      <x:c r="K233" s="10" t="str">
        <x:f t="shared" si="3">IF(A233="","",IF(OR(E233="买入",E233="定投",E233="转换转入"),-(F233+I233),IF(OR(E233="卖出",E233="转换转出"),IF(J233&lt;&gt;"",J233,F233-I233),IF(E233="现金分红",J233,0))))</x:f>
      </x:c>
      <x:c r="L233" s="11"/>
      <x:c r="M233" s="14"/>
    </x:row>
    <x:row r="234" ht="21" customHeight="1">
      <x:c r="A234" s="7"/>
      <x:c r="B234" s="8"/>
      <x:c r="C234" s="9"/>
      <x:c r="D234" s="10" t="str">
        <x:f>IF(C234="","",IFERROR(VLOOKUP(C234,'基金信息'!$A$6:$B$200,2,FALSE),"代码未找到"))</x:f>
      </x:c>
      <x:c r="E234" s="11"/>
      <x:c r="F234" s="12"/>
      <x:c r="G234" s="13"/>
      <x:c r="H234" s="13"/>
      <x:c r="I234" s="11"/>
      <x:c r="J234" s="11"/>
      <x:c r="K234" s="10" t="str">
        <x:f t="shared" si="3">IF(A234="","",IF(OR(E234="买入",E234="定投",E234="转换转入"),-(F234+I234),IF(OR(E234="卖出",E234="转换转出"),IF(J234&lt;&gt;"",J234,F234-I234),IF(E234="现金分红",J234,0))))</x:f>
      </x:c>
      <x:c r="L234" s="11"/>
      <x:c r="M234" s="14"/>
    </x:row>
    <x:row r="235" ht="21" customHeight="1">
      <x:c r="A235" s="7"/>
      <x:c r="B235" s="8"/>
      <x:c r="C235" s="9"/>
      <x:c r="D235" s="10" t="str">
        <x:f>IF(C235="","",IFERROR(VLOOKUP(C235,'基金信息'!$A$6:$B$200,2,FALSE),"代码未找到"))</x:f>
      </x:c>
      <x:c r="E235" s="11"/>
      <x:c r="F235" s="12"/>
      <x:c r="G235" s="13"/>
      <x:c r="H235" s="13"/>
      <x:c r="I235" s="11"/>
      <x:c r="J235" s="11"/>
      <x:c r="K235" s="10" t="str">
        <x:f t="shared" si="3">IF(A235="","",IF(OR(E235="买入",E235="定投",E235="转换转入"),-(F235+I235),IF(OR(E235="卖出",E235="转换转出"),IF(J235&lt;&gt;"",J235,F235-I235),IF(E235="现金分红",J235,0))))</x:f>
      </x:c>
      <x:c r="L235" s="11"/>
      <x:c r="M235" s="14"/>
    </x:row>
    <x:row r="236" ht="21" customHeight="1">
      <x:c r="A236" s="7"/>
      <x:c r="B236" s="8"/>
      <x:c r="C236" s="9"/>
      <x:c r="D236" s="10" t="str">
        <x:f>IF(C236="","",IFERROR(VLOOKUP(C236,'基金信息'!$A$6:$B$200,2,FALSE),"代码未找到"))</x:f>
      </x:c>
      <x:c r="E236" s="11"/>
      <x:c r="F236" s="12"/>
      <x:c r="G236" s="13"/>
      <x:c r="H236" s="13"/>
      <x:c r="I236" s="11"/>
      <x:c r="J236" s="11"/>
      <x:c r="K236" s="10" t="str">
        <x:f t="shared" si="3">IF(A236="","",IF(OR(E236="买入",E236="定投",E236="转换转入"),-(F236+I236),IF(OR(E236="卖出",E236="转换转出"),IF(J236&lt;&gt;"",J236,F236-I236),IF(E236="现金分红",J236,0))))</x:f>
      </x:c>
      <x:c r="L236" s="11"/>
      <x:c r="M236" s="14"/>
    </x:row>
    <x:row r="237" ht="21" customHeight="1">
      <x:c r="A237" s="7"/>
      <x:c r="B237" s="8"/>
      <x:c r="C237" s="9"/>
      <x:c r="D237" s="10" t="str">
        <x:f>IF(C237="","",IFERROR(VLOOKUP(C237,'基金信息'!$A$6:$B$200,2,FALSE),"代码未找到"))</x:f>
      </x:c>
      <x:c r="E237" s="11"/>
      <x:c r="F237" s="12"/>
      <x:c r="G237" s="13"/>
      <x:c r="H237" s="13"/>
      <x:c r="I237" s="11"/>
      <x:c r="J237" s="11"/>
      <x:c r="K237" s="10" t="str">
        <x:f t="shared" si="3">IF(A237="","",IF(OR(E237="买入",E237="定投",E237="转换转入"),-(F237+I237),IF(OR(E237="卖出",E237="转换转出"),IF(J237&lt;&gt;"",J237,F237-I237),IF(E237="现金分红",J237,0))))</x:f>
      </x:c>
      <x:c r="L237" s="11"/>
      <x:c r="M237" s="14"/>
    </x:row>
    <x:row r="238" ht="21" customHeight="1">
      <x:c r="A238" s="7"/>
      <x:c r="B238" s="8"/>
      <x:c r="C238" s="9"/>
      <x:c r="D238" s="10" t="str">
        <x:f>IF(C238="","",IFERROR(VLOOKUP(C238,'基金信息'!$A$6:$B$200,2,FALSE),"代码未找到"))</x:f>
      </x:c>
      <x:c r="E238" s="11"/>
      <x:c r="F238" s="12"/>
      <x:c r="G238" s="13"/>
      <x:c r="H238" s="13"/>
      <x:c r="I238" s="11"/>
      <x:c r="J238" s="11"/>
      <x:c r="K238" s="10" t="str">
        <x:f t="shared" si="3">IF(A238="","",IF(OR(E238="买入",E238="定投",E238="转换转入"),-(F238+I238),IF(OR(E238="卖出",E238="转换转出"),IF(J238&lt;&gt;"",J238,F238-I238),IF(E238="现金分红",J238,0))))</x:f>
      </x:c>
      <x:c r="L238" s="11"/>
      <x:c r="M238" s="14"/>
    </x:row>
    <x:row r="239" ht="21" customHeight="1">
      <x:c r="A239" s="7"/>
      <x:c r="B239" s="8"/>
      <x:c r="C239" s="9"/>
      <x:c r="D239" s="10" t="str">
        <x:f>IF(C239="","",IFERROR(VLOOKUP(C239,'基金信息'!$A$6:$B$200,2,FALSE),"代码未找到"))</x:f>
      </x:c>
      <x:c r="E239" s="11"/>
      <x:c r="F239" s="12"/>
      <x:c r="G239" s="13"/>
      <x:c r="H239" s="13"/>
      <x:c r="I239" s="11"/>
      <x:c r="J239" s="11"/>
      <x:c r="K239" s="10" t="str">
        <x:f t="shared" si="3">IF(A239="","",IF(OR(E239="买入",E239="定投",E239="转换转入"),-(F239+I239),IF(OR(E239="卖出",E239="转换转出"),IF(J239&lt;&gt;"",J239,F239-I239),IF(E239="现金分红",J239,0))))</x:f>
      </x:c>
      <x:c r="L239" s="11"/>
      <x:c r="M239" s="14"/>
    </x:row>
    <x:row r="240" ht="21" customHeight="1">
      <x:c r="A240" s="7"/>
      <x:c r="B240" s="8"/>
      <x:c r="C240" s="9"/>
      <x:c r="D240" s="10" t="str">
        <x:f>IF(C240="","",IFERROR(VLOOKUP(C240,'基金信息'!$A$6:$B$200,2,FALSE),"代码未找到"))</x:f>
      </x:c>
      <x:c r="E240" s="11"/>
      <x:c r="F240" s="12"/>
      <x:c r="G240" s="13"/>
      <x:c r="H240" s="13"/>
      <x:c r="I240" s="11"/>
      <x:c r="J240" s="11"/>
      <x:c r="K240" s="10" t="str">
        <x:f t="shared" si="3">IF(A240="","",IF(OR(E240="买入",E240="定投",E240="转换转入"),-(F240+I240),IF(OR(E240="卖出",E240="转换转出"),IF(J240&lt;&gt;"",J240,F240-I240),IF(E240="现金分红",J240,0))))</x:f>
      </x:c>
      <x:c r="L240" s="11"/>
      <x:c r="M240" s="14"/>
    </x:row>
    <x:row r="241" ht="21" customHeight="1">
      <x:c r="A241" s="7"/>
      <x:c r="B241" s="8"/>
      <x:c r="C241" s="9"/>
      <x:c r="D241" s="10" t="str">
        <x:f>IF(C241="","",IFERROR(VLOOKUP(C241,'基金信息'!$A$6:$B$200,2,FALSE),"代码未找到"))</x:f>
      </x:c>
      <x:c r="E241" s="11"/>
      <x:c r="F241" s="12"/>
      <x:c r="G241" s="13"/>
      <x:c r="H241" s="13"/>
      <x:c r="I241" s="11"/>
      <x:c r="J241" s="11"/>
      <x:c r="K241" s="10" t="str">
        <x:f t="shared" si="3">IF(A241="","",IF(OR(E241="买入",E241="定投",E241="转换转入"),-(F241+I241),IF(OR(E241="卖出",E241="转换转出"),IF(J241&lt;&gt;"",J241,F241-I241),IF(E241="现金分红",J241,0))))</x:f>
      </x:c>
      <x:c r="L241" s="11"/>
      <x:c r="M241" s="14"/>
    </x:row>
    <x:row r="242" ht="21" customHeight="1">
      <x:c r="A242" s="7"/>
      <x:c r="B242" s="8"/>
      <x:c r="C242" s="9"/>
      <x:c r="D242" s="10" t="str">
        <x:f>IF(C242="","",IFERROR(VLOOKUP(C242,'基金信息'!$A$6:$B$200,2,FALSE),"代码未找到"))</x:f>
      </x:c>
      <x:c r="E242" s="11"/>
      <x:c r="F242" s="12"/>
      <x:c r="G242" s="13"/>
      <x:c r="H242" s="13"/>
      <x:c r="I242" s="11"/>
      <x:c r="J242" s="11"/>
      <x:c r="K242" s="10" t="str">
        <x:f t="shared" si="3">IF(A242="","",IF(OR(E242="买入",E242="定投",E242="转换转入"),-(F242+I242),IF(OR(E242="卖出",E242="转换转出"),IF(J242&lt;&gt;"",J242,F242-I242),IF(E242="现金分红",J242,0))))</x:f>
      </x:c>
      <x:c r="L242" s="11"/>
      <x:c r="M242" s="14"/>
    </x:row>
    <x:row r="243" ht="21" customHeight="1">
      <x:c r="A243" s="7"/>
      <x:c r="B243" s="8"/>
      <x:c r="C243" s="9"/>
      <x:c r="D243" s="10" t="str">
        <x:f>IF(C243="","",IFERROR(VLOOKUP(C243,'基金信息'!$A$6:$B$200,2,FALSE),"代码未找到"))</x:f>
      </x:c>
      <x:c r="E243" s="11"/>
      <x:c r="F243" s="12"/>
      <x:c r="G243" s="13"/>
      <x:c r="H243" s="13"/>
      <x:c r="I243" s="11"/>
      <x:c r="J243" s="11"/>
      <x:c r="K243" s="10" t="str">
        <x:f t="shared" si="3">IF(A243="","",IF(OR(E243="买入",E243="定投",E243="转换转入"),-(F243+I243),IF(OR(E243="卖出",E243="转换转出"),IF(J243&lt;&gt;"",J243,F243-I243),IF(E243="现金分红",J243,0))))</x:f>
      </x:c>
      <x:c r="L243" s="11"/>
      <x:c r="M243" s="14"/>
    </x:row>
    <x:row r="244" ht="21" customHeight="1">
      <x:c r="A244" s="7"/>
      <x:c r="B244" s="8"/>
      <x:c r="C244" s="9"/>
      <x:c r="D244" s="10" t="str">
        <x:f>IF(C244="","",IFERROR(VLOOKUP(C244,'基金信息'!$A$6:$B$200,2,FALSE),"代码未找到"))</x:f>
      </x:c>
      <x:c r="E244" s="11"/>
      <x:c r="F244" s="12"/>
      <x:c r="G244" s="13"/>
      <x:c r="H244" s="13"/>
      <x:c r="I244" s="11"/>
      <x:c r="J244" s="11"/>
      <x:c r="K244" s="10" t="str">
        <x:f t="shared" si="3">IF(A244="","",IF(OR(E244="买入",E244="定投",E244="转换转入"),-(F244+I244),IF(OR(E244="卖出",E244="转换转出"),IF(J244&lt;&gt;"",J244,F244-I244),IF(E244="现金分红",J244,0))))</x:f>
      </x:c>
      <x:c r="L244" s="11"/>
      <x:c r="M244" s="14"/>
    </x:row>
    <x:row r="245" ht="21" customHeight="1">
      <x:c r="A245" s="7"/>
      <x:c r="B245" s="8"/>
      <x:c r="C245" s="9"/>
      <x:c r="D245" s="10" t="str">
        <x:f>IF(C245="","",IFERROR(VLOOKUP(C245,'基金信息'!$A$6:$B$200,2,FALSE),"代码未找到"))</x:f>
      </x:c>
      <x:c r="E245" s="11"/>
      <x:c r="F245" s="12"/>
      <x:c r="G245" s="13"/>
      <x:c r="H245" s="13"/>
      <x:c r="I245" s="11"/>
      <x:c r="J245" s="11"/>
      <x:c r="K245" s="10" t="str">
        <x:f t="shared" si="3">IF(A245="","",IF(OR(E245="买入",E245="定投",E245="转换转入"),-(F245+I245),IF(OR(E245="卖出",E245="转换转出"),IF(J245&lt;&gt;"",J245,F245-I245),IF(E245="现金分红",J245,0))))</x:f>
      </x:c>
      <x:c r="L245" s="11"/>
      <x:c r="M245" s="14"/>
    </x:row>
    <x:row r="246" ht="21" customHeight="1">
      <x:c r="A246" s="7"/>
      <x:c r="B246" s="8"/>
      <x:c r="C246" s="9"/>
      <x:c r="D246" s="10" t="str">
        <x:f>IF(C246="","",IFERROR(VLOOKUP(C246,'基金信息'!$A$6:$B$200,2,FALSE),"代码未找到"))</x:f>
      </x:c>
      <x:c r="E246" s="11"/>
      <x:c r="F246" s="12"/>
      <x:c r="G246" s="13"/>
      <x:c r="H246" s="13"/>
      <x:c r="I246" s="11"/>
      <x:c r="J246" s="11"/>
      <x:c r="K246" s="10" t="str">
        <x:f t="shared" si="3">IF(A246="","",IF(OR(E246="买入",E246="定投",E246="转换转入"),-(F246+I246),IF(OR(E246="卖出",E246="转换转出"),IF(J246&lt;&gt;"",J246,F246-I246),IF(E246="现金分红",J246,0))))</x:f>
      </x:c>
      <x:c r="L246" s="11"/>
      <x:c r="M246" s="14"/>
    </x:row>
    <x:row r="247" ht="21" customHeight="1">
      <x:c r="A247" s="7"/>
      <x:c r="B247" s="8"/>
      <x:c r="C247" s="9"/>
      <x:c r="D247" s="10" t="str">
        <x:f>IF(C247="","",IFERROR(VLOOKUP(C247,'基金信息'!$A$6:$B$200,2,FALSE),"代码未找到"))</x:f>
      </x:c>
      <x:c r="E247" s="11"/>
      <x:c r="F247" s="12"/>
      <x:c r="G247" s="13"/>
      <x:c r="H247" s="13"/>
      <x:c r="I247" s="11"/>
      <x:c r="J247" s="11"/>
      <x:c r="K247" s="10" t="str">
        <x:f t="shared" si="3">IF(A247="","",IF(OR(E247="买入",E247="定投",E247="转换转入"),-(F247+I247),IF(OR(E247="卖出",E247="转换转出"),IF(J247&lt;&gt;"",J247,F247-I247),IF(E247="现金分红",J247,0))))</x:f>
      </x:c>
      <x:c r="L247" s="11"/>
      <x:c r="M247" s="14"/>
    </x:row>
    <x:row r="248" ht="21" customHeight="1">
      <x:c r="A248" s="7"/>
      <x:c r="B248" s="8"/>
      <x:c r="C248" s="9"/>
      <x:c r="D248" s="10" t="str">
        <x:f>IF(C248="","",IFERROR(VLOOKUP(C248,'基金信息'!$A$6:$B$200,2,FALSE),"代码未找到"))</x:f>
      </x:c>
      <x:c r="E248" s="11"/>
      <x:c r="F248" s="12"/>
      <x:c r="G248" s="13"/>
      <x:c r="H248" s="13"/>
      <x:c r="I248" s="11"/>
      <x:c r="J248" s="11"/>
      <x:c r="K248" s="10" t="str">
        <x:f t="shared" si="3">IF(A248="","",IF(OR(E248="买入",E248="定投",E248="转换转入"),-(F248+I248),IF(OR(E248="卖出",E248="转换转出"),IF(J248&lt;&gt;"",J248,F248-I248),IF(E248="现金分红",J248,0))))</x:f>
      </x:c>
      <x:c r="L248" s="11"/>
      <x:c r="M248" s="14"/>
    </x:row>
    <x:row r="249" ht="21" customHeight="1">
      <x:c r="A249" s="7"/>
      <x:c r="B249" s="8"/>
      <x:c r="C249" s="9"/>
      <x:c r="D249" s="10" t="str">
        <x:f>IF(C249="","",IFERROR(VLOOKUP(C249,'基金信息'!$A$6:$B$200,2,FALSE),"代码未找到"))</x:f>
      </x:c>
      <x:c r="E249" s="11"/>
      <x:c r="F249" s="12"/>
      <x:c r="G249" s="13"/>
      <x:c r="H249" s="13"/>
      <x:c r="I249" s="11"/>
      <x:c r="J249" s="11"/>
      <x:c r="K249" s="10" t="str">
        <x:f t="shared" si="3">IF(A249="","",IF(OR(E249="买入",E249="定投",E249="转换转入"),-(F249+I249),IF(OR(E249="卖出",E249="转换转出"),IF(J249&lt;&gt;"",J249,F249-I249),IF(E249="现金分红",J249,0))))</x:f>
      </x:c>
      <x:c r="L249" s="11"/>
      <x:c r="M249" s="14"/>
    </x:row>
    <x:row r="250" ht="21" customHeight="1">
      <x:c r="A250" s="7"/>
      <x:c r="B250" s="8"/>
      <x:c r="C250" s="9"/>
      <x:c r="D250" s="10" t="str">
        <x:f>IF(C250="","",IFERROR(VLOOKUP(C250,'基金信息'!$A$6:$B$200,2,FALSE),"代码未找到"))</x:f>
      </x:c>
      <x:c r="E250" s="11"/>
      <x:c r="F250" s="12"/>
      <x:c r="G250" s="13"/>
      <x:c r="H250" s="13"/>
      <x:c r="I250" s="11"/>
      <x:c r="J250" s="11"/>
      <x:c r="K250" s="10" t="str">
        <x:f t="shared" si="3">IF(A250="","",IF(OR(E250="买入",E250="定投",E250="转换转入"),-(F250+I250),IF(OR(E250="卖出",E250="转换转出"),IF(J250&lt;&gt;"",J250,F250-I250),IF(E250="现金分红",J250,0))))</x:f>
      </x:c>
      <x:c r="L250" s="11"/>
      <x:c r="M250" s="14"/>
    </x:row>
    <x:row r="251" ht="21" customHeight="1">
      <x:c r="A251" s="7"/>
      <x:c r="B251" s="8"/>
      <x:c r="C251" s="9"/>
      <x:c r="D251" s="10" t="str">
        <x:f>IF(C251="","",IFERROR(VLOOKUP(C251,'基金信息'!$A$6:$B$200,2,FALSE),"代码未找到"))</x:f>
      </x:c>
      <x:c r="E251" s="11"/>
      <x:c r="F251" s="12"/>
      <x:c r="G251" s="13"/>
      <x:c r="H251" s="13"/>
      <x:c r="I251" s="11"/>
      <x:c r="J251" s="11"/>
      <x:c r="K251" s="10" t="str">
        <x:f t="shared" si="3">IF(A251="","",IF(OR(E251="买入",E251="定投",E251="转换转入"),-(F251+I251),IF(OR(E251="卖出",E251="转换转出"),IF(J251&lt;&gt;"",J251,F251-I251),IF(E251="现金分红",J251,0))))</x:f>
      </x:c>
      <x:c r="L251" s="11"/>
      <x:c r="M251" s="14"/>
    </x:row>
    <x:row r="252" ht="21" customHeight="1">
      <x:c r="A252" s="7"/>
      <x:c r="B252" s="8"/>
      <x:c r="C252" s="9"/>
      <x:c r="D252" s="10" t="str">
        <x:f>IF(C252="","",IFERROR(VLOOKUP(C252,'基金信息'!$A$6:$B$200,2,FALSE),"代码未找到"))</x:f>
      </x:c>
      <x:c r="E252" s="11"/>
      <x:c r="F252" s="12"/>
      <x:c r="G252" s="13"/>
      <x:c r="H252" s="13"/>
      <x:c r="I252" s="11"/>
      <x:c r="J252" s="11"/>
      <x:c r="K252" s="10" t="str">
        <x:f t="shared" si="3">IF(A252="","",IF(OR(E252="买入",E252="定投",E252="转换转入"),-(F252+I252),IF(OR(E252="卖出",E252="转换转出"),IF(J252&lt;&gt;"",J252,F252-I252),IF(E252="现金分红",J252,0))))</x:f>
      </x:c>
      <x:c r="L252" s="11"/>
      <x:c r="M252" s="14"/>
    </x:row>
    <x:row r="253" ht="21" customHeight="1">
      <x:c r="A253" s="7"/>
      <x:c r="B253" s="8"/>
      <x:c r="C253" s="9"/>
      <x:c r="D253" s="10" t="str">
        <x:f>IF(C253="","",IFERROR(VLOOKUP(C253,'基金信息'!$A$6:$B$200,2,FALSE),"代码未找到"))</x:f>
      </x:c>
      <x:c r="E253" s="11"/>
      <x:c r="F253" s="12"/>
      <x:c r="G253" s="13"/>
      <x:c r="H253" s="13"/>
      <x:c r="I253" s="11"/>
      <x:c r="J253" s="11"/>
      <x:c r="K253" s="10" t="str">
        <x:f t="shared" si="3">IF(A253="","",IF(OR(E253="买入",E253="定投",E253="转换转入"),-(F253+I253),IF(OR(E253="卖出",E253="转换转出"),IF(J253&lt;&gt;"",J253,F253-I253),IF(E253="现金分红",J253,0))))</x:f>
      </x:c>
      <x:c r="L253" s="11"/>
      <x:c r="M253" s="14"/>
    </x:row>
    <x:row r="254" ht="21" customHeight="1">
      <x:c r="A254" s="7"/>
      <x:c r="B254" s="8"/>
      <x:c r="C254" s="9"/>
      <x:c r="D254" s="10" t="str">
        <x:f>IF(C254="","",IFERROR(VLOOKUP(C254,'基金信息'!$A$6:$B$200,2,FALSE),"代码未找到"))</x:f>
      </x:c>
      <x:c r="E254" s="11"/>
      <x:c r="F254" s="12"/>
      <x:c r="G254" s="13"/>
      <x:c r="H254" s="13"/>
      <x:c r="I254" s="11"/>
      <x:c r="J254" s="11"/>
      <x:c r="K254" s="10" t="str">
        <x:f t="shared" si="3">IF(A254="","",IF(OR(E254="买入",E254="定投",E254="转换转入"),-(F254+I254),IF(OR(E254="卖出",E254="转换转出"),IF(J254&lt;&gt;"",J254,F254-I254),IF(E254="现金分红",J254,0))))</x:f>
      </x:c>
      <x:c r="L254" s="11"/>
      <x:c r="M254" s="14"/>
    </x:row>
    <x:row r="255" ht="21" customHeight="1">
      <x:c r="A255" s="7"/>
      <x:c r="B255" s="8"/>
      <x:c r="C255" s="9"/>
      <x:c r="D255" s="10" t="str">
        <x:f>IF(C255="","",IFERROR(VLOOKUP(C255,'基金信息'!$A$6:$B$200,2,FALSE),"代码未找到"))</x:f>
      </x:c>
      <x:c r="E255" s="11"/>
      <x:c r="F255" s="12"/>
      <x:c r="G255" s="13"/>
      <x:c r="H255" s="13"/>
      <x:c r="I255" s="11"/>
      <x:c r="J255" s="11"/>
      <x:c r="K255" s="10" t="str">
        <x:f t="shared" si="3">IF(A255="","",IF(OR(E255="买入",E255="定投",E255="转换转入"),-(F255+I255),IF(OR(E255="卖出",E255="转换转出"),IF(J255&lt;&gt;"",J255,F255-I255),IF(E255="现金分红",J255,0))))</x:f>
      </x:c>
      <x:c r="L255" s="11"/>
      <x:c r="M255" s="14"/>
    </x:row>
    <x:row r="256" ht="21" customHeight="1">
      <x:c r="A256" s="7"/>
      <x:c r="B256" s="8"/>
      <x:c r="C256" s="9"/>
      <x:c r="D256" s="10" t="str">
        <x:f>IF(C256="","",IFERROR(VLOOKUP(C256,'基金信息'!$A$6:$B$200,2,FALSE),"代码未找到"))</x:f>
      </x:c>
      <x:c r="E256" s="11"/>
      <x:c r="F256" s="12"/>
      <x:c r="G256" s="13"/>
      <x:c r="H256" s="13"/>
      <x:c r="I256" s="11"/>
      <x:c r="J256" s="11"/>
      <x:c r="K256" s="10" t="str">
        <x:f t="shared" si="3">IF(A256="","",IF(OR(E256="买入",E256="定投",E256="转换转入"),-(F256+I256),IF(OR(E256="卖出",E256="转换转出"),IF(J256&lt;&gt;"",J256,F256-I256),IF(E256="现金分红",J256,0))))</x:f>
      </x:c>
      <x:c r="L256" s="11"/>
      <x:c r="M256" s="14"/>
    </x:row>
    <x:row r="257" ht="21" customHeight="1">
      <x:c r="A257" s="7"/>
      <x:c r="B257" s="8"/>
      <x:c r="C257" s="9"/>
      <x:c r="D257" s="10" t="str">
        <x:f>IF(C257="","",IFERROR(VLOOKUP(C257,'基金信息'!$A$6:$B$200,2,FALSE),"代码未找到"))</x:f>
      </x:c>
      <x:c r="E257" s="11"/>
      <x:c r="F257" s="12"/>
      <x:c r="G257" s="13"/>
      <x:c r="H257" s="13"/>
      <x:c r="I257" s="11"/>
      <x:c r="J257" s="11"/>
      <x:c r="K257" s="10" t="str">
        <x:f t="shared" si="3">IF(A257="","",IF(OR(E257="买入",E257="定投",E257="转换转入"),-(F257+I257),IF(OR(E257="卖出",E257="转换转出"),IF(J257&lt;&gt;"",J257,F257-I257),IF(E257="现金分红",J257,0))))</x:f>
      </x:c>
      <x:c r="L257" s="11"/>
      <x:c r="M257" s="14"/>
    </x:row>
    <x:row r="258" ht="21" customHeight="1">
      <x:c r="A258" s="7"/>
      <x:c r="B258" s="8"/>
      <x:c r="C258" s="9"/>
      <x:c r="D258" s="10" t="str">
        <x:f>IF(C258="","",IFERROR(VLOOKUP(C258,'基金信息'!$A$6:$B$200,2,FALSE),"代码未找到"))</x:f>
      </x:c>
      <x:c r="E258" s="11"/>
      <x:c r="F258" s="12"/>
      <x:c r="G258" s="13"/>
      <x:c r="H258" s="13"/>
      <x:c r="I258" s="11"/>
      <x:c r="J258" s="11"/>
      <x:c r="K258" s="10" t="str">
        <x:f t="shared" si="3">IF(A258="","",IF(OR(E258="买入",E258="定投",E258="转换转入"),-(F258+I258),IF(OR(E258="卖出",E258="转换转出"),IF(J258&lt;&gt;"",J258,F258-I258),IF(E258="现金分红",J258,0))))</x:f>
      </x:c>
      <x:c r="L258" s="11"/>
      <x:c r="M258" s="14"/>
    </x:row>
    <x:row r="259" ht="21" customHeight="1">
      <x:c r="A259" s="7"/>
      <x:c r="B259" s="8"/>
      <x:c r="C259" s="9"/>
      <x:c r="D259" s="10" t="str">
        <x:f>IF(C259="","",IFERROR(VLOOKUP(C259,'基金信息'!$A$6:$B$200,2,FALSE),"代码未找到"))</x:f>
      </x:c>
      <x:c r="E259" s="11"/>
      <x:c r="F259" s="12"/>
      <x:c r="G259" s="13"/>
      <x:c r="H259" s="13"/>
      <x:c r="I259" s="11"/>
      <x:c r="J259" s="11"/>
      <x:c r="K259" s="10" t="str">
        <x:f t="shared" si="3">IF(A259="","",IF(OR(E259="买入",E259="定投",E259="转换转入"),-(F259+I259),IF(OR(E259="卖出",E259="转换转出"),IF(J259&lt;&gt;"",J259,F259-I259),IF(E259="现金分红",J259,0))))</x:f>
      </x:c>
      <x:c r="L259" s="11"/>
      <x:c r="M259" s="14"/>
    </x:row>
    <x:row r="260" ht="21" customHeight="1">
      <x:c r="A260" s="7"/>
      <x:c r="B260" s="8"/>
      <x:c r="C260" s="9"/>
      <x:c r="D260" s="10" t="str">
        <x:f>IF(C260="","",IFERROR(VLOOKUP(C260,'基金信息'!$A$6:$B$200,2,FALSE),"代码未找到"))</x:f>
      </x:c>
      <x:c r="E260" s="11"/>
      <x:c r="F260" s="12"/>
      <x:c r="G260" s="13"/>
      <x:c r="H260" s="13"/>
      <x:c r="I260" s="11"/>
      <x:c r="J260" s="11"/>
      <x:c r="K260" s="10" t="str">
        <x:f t="shared" si="3">IF(A260="","",IF(OR(E260="买入",E260="定投",E260="转换转入"),-(F260+I260),IF(OR(E260="卖出",E260="转换转出"),IF(J260&lt;&gt;"",J260,F260-I260),IF(E260="现金分红",J260,0))))</x:f>
      </x:c>
      <x:c r="L260" s="11"/>
      <x:c r="M260" s="14"/>
    </x:row>
    <x:row r="261" ht="21" customHeight="1">
      <x:c r="A261" s="7"/>
      <x:c r="B261" s="8"/>
      <x:c r="C261" s="9"/>
      <x:c r="D261" s="10" t="str">
        <x:f>IF(C261="","",IFERROR(VLOOKUP(C261,'基金信息'!$A$6:$B$200,2,FALSE),"代码未找到"))</x:f>
      </x:c>
      <x:c r="E261" s="11"/>
      <x:c r="F261" s="12"/>
      <x:c r="G261" s="13"/>
      <x:c r="H261" s="13"/>
      <x:c r="I261" s="11"/>
      <x:c r="J261" s="11"/>
      <x:c r="K261" s="10" t="str">
        <x:f t="shared" ref="K261:K324" si="4">IF(A261="","",IF(OR(E261="买入",E261="定投",E261="转换转入"),-(F261+I261),IF(OR(E261="卖出",E261="转换转出"),IF(J261&lt;&gt;"",J261,F261-I261),IF(E261="现金分红",J261,0))))</x:f>
      </x:c>
      <x:c r="L261" s="11"/>
      <x:c r="M261" s="14"/>
    </x:row>
    <x:row r="262" ht="21" customHeight="1">
      <x:c r="A262" s="7"/>
      <x:c r="B262" s="8"/>
      <x:c r="C262" s="9"/>
      <x:c r="D262" s="10" t="str">
        <x:f>IF(C262="","",IFERROR(VLOOKUP(C262,'基金信息'!$A$6:$B$200,2,FALSE),"代码未找到"))</x:f>
      </x:c>
      <x:c r="E262" s="11"/>
      <x:c r="F262" s="12"/>
      <x:c r="G262" s="13"/>
      <x:c r="H262" s="13"/>
      <x:c r="I262" s="11"/>
      <x:c r="J262" s="11"/>
      <x:c r="K262" s="10" t="str">
        <x:f t="shared" si="4">IF(A262="","",IF(OR(E262="买入",E262="定投",E262="转换转入"),-(F262+I262),IF(OR(E262="卖出",E262="转换转出"),IF(J262&lt;&gt;"",J262,F262-I262),IF(E262="现金分红",J262,0))))</x:f>
      </x:c>
      <x:c r="L262" s="11"/>
      <x:c r="M262" s="14"/>
    </x:row>
    <x:row r="263" ht="21" customHeight="1">
      <x:c r="A263" s="7"/>
      <x:c r="B263" s="8"/>
      <x:c r="C263" s="9"/>
      <x:c r="D263" s="10" t="str">
        <x:f>IF(C263="","",IFERROR(VLOOKUP(C263,'基金信息'!$A$6:$B$200,2,FALSE),"代码未找到"))</x:f>
      </x:c>
      <x:c r="E263" s="11"/>
      <x:c r="F263" s="12"/>
      <x:c r="G263" s="13"/>
      <x:c r="H263" s="13"/>
      <x:c r="I263" s="11"/>
      <x:c r="J263" s="11"/>
      <x:c r="K263" s="10" t="str">
        <x:f t="shared" si="4">IF(A263="","",IF(OR(E263="买入",E263="定投",E263="转换转入"),-(F263+I263),IF(OR(E263="卖出",E263="转换转出"),IF(J263&lt;&gt;"",J263,F263-I263),IF(E263="现金分红",J263,0))))</x:f>
      </x:c>
      <x:c r="L263" s="11"/>
      <x:c r="M263" s="14"/>
    </x:row>
    <x:row r="264" ht="21" customHeight="1">
      <x:c r="A264" s="7"/>
      <x:c r="B264" s="8"/>
      <x:c r="C264" s="9"/>
      <x:c r="D264" s="10" t="str">
        <x:f>IF(C264="","",IFERROR(VLOOKUP(C264,'基金信息'!$A$6:$B$200,2,FALSE),"代码未找到"))</x:f>
      </x:c>
      <x:c r="E264" s="11"/>
      <x:c r="F264" s="12"/>
      <x:c r="G264" s="13"/>
      <x:c r="H264" s="13"/>
      <x:c r="I264" s="11"/>
      <x:c r="J264" s="11"/>
      <x:c r="K264" s="10" t="str">
        <x:f t="shared" si="4">IF(A264="","",IF(OR(E264="买入",E264="定投",E264="转换转入"),-(F264+I264),IF(OR(E264="卖出",E264="转换转出"),IF(J264&lt;&gt;"",J264,F264-I264),IF(E264="现金分红",J264,0))))</x:f>
      </x:c>
      <x:c r="L264" s="11"/>
      <x:c r="M264" s="14"/>
    </x:row>
    <x:row r="265" ht="21" customHeight="1">
      <x:c r="A265" s="7"/>
      <x:c r="B265" s="8"/>
      <x:c r="C265" s="9"/>
      <x:c r="D265" s="10" t="str">
        <x:f>IF(C265="","",IFERROR(VLOOKUP(C265,'基金信息'!$A$6:$B$200,2,FALSE),"代码未找到"))</x:f>
      </x:c>
      <x:c r="E265" s="11"/>
      <x:c r="F265" s="12"/>
      <x:c r="G265" s="13"/>
      <x:c r="H265" s="13"/>
      <x:c r="I265" s="11"/>
      <x:c r="J265" s="11"/>
      <x:c r="K265" s="10" t="str">
        <x:f t="shared" si="4">IF(A265="","",IF(OR(E265="买入",E265="定投",E265="转换转入"),-(F265+I265),IF(OR(E265="卖出",E265="转换转出"),IF(J265&lt;&gt;"",J265,F265-I265),IF(E265="现金分红",J265,0))))</x:f>
      </x:c>
      <x:c r="L265" s="11"/>
      <x:c r="M265" s="14"/>
    </x:row>
    <x:row r="266" ht="21" customHeight="1">
      <x:c r="A266" s="7"/>
      <x:c r="B266" s="8"/>
      <x:c r="C266" s="9"/>
      <x:c r="D266" s="10" t="str">
        <x:f>IF(C266="","",IFERROR(VLOOKUP(C266,'基金信息'!$A$6:$B$200,2,FALSE),"代码未找到"))</x:f>
      </x:c>
      <x:c r="E266" s="11"/>
      <x:c r="F266" s="12"/>
      <x:c r="G266" s="13"/>
      <x:c r="H266" s="13"/>
      <x:c r="I266" s="11"/>
      <x:c r="J266" s="11"/>
      <x:c r="K266" s="10" t="str">
        <x:f t="shared" si="4">IF(A266="","",IF(OR(E266="买入",E266="定投",E266="转换转入"),-(F266+I266),IF(OR(E266="卖出",E266="转换转出"),IF(J266&lt;&gt;"",J266,F266-I266),IF(E266="现金分红",J266,0))))</x:f>
      </x:c>
      <x:c r="L266" s="11"/>
      <x:c r="M266" s="14"/>
    </x:row>
    <x:row r="267" ht="21" customHeight="1">
      <x:c r="A267" s="7"/>
      <x:c r="B267" s="8"/>
      <x:c r="C267" s="9"/>
      <x:c r="D267" s="10" t="str">
        <x:f>IF(C267="","",IFERROR(VLOOKUP(C267,'基金信息'!$A$6:$B$200,2,FALSE),"代码未找到"))</x:f>
      </x:c>
      <x:c r="E267" s="11"/>
      <x:c r="F267" s="12"/>
      <x:c r="G267" s="13"/>
      <x:c r="H267" s="13"/>
      <x:c r="I267" s="11"/>
      <x:c r="J267" s="11"/>
      <x:c r="K267" s="10" t="str">
        <x:f t="shared" si="4">IF(A267="","",IF(OR(E267="买入",E267="定投",E267="转换转入"),-(F267+I267),IF(OR(E267="卖出",E267="转换转出"),IF(J267&lt;&gt;"",J267,F267-I267),IF(E267="现金分红",J267,0))))</x:f>
      </x:c>
      <x:c r="L267" s="11"/>
      <x:c r="M267" s="14"/>
    </x:row>
    <x:row r="268" ht="21" customHeight="1">
      <x:c r="A268" s="7"/>
      <x:c r="B268" s="8"/>
      <x:c r="C268" s="9"/>
      <x:c r="D268" s="10" t="str">
        <x:f>IF(C268="","",IFERROR(VLOOKUP(C268,'基金信息'!$A$6:$B$200,2,FALSE),"代码未找到"))</x:f>
      </x:c>
      <x:c r="E268" s="11"/>
      <x:c r="F268" s="12"/>
      <x:c r="G268" s="13"/>
      <x:c r="H268" s="13"/>
      <x:c r="I268" s="11"/>
      <x:c r="J268" s="11"/>
      <x:c r="K268" s="10" t="str">
        <x:f t="shared" si="4">IF(A268="","",IF(OR(E268="买入",E268="定投",E268="转换转入"),-(F268+I268),IF(OR(E268="卖出",E268="转换转出"),IF(J268&lt;&gt;"",J268,F268-I268),IF(E268="现金分红",J268,0))))</x:f>
      </x:c>
      <x:c r="L268" s="11"/>
      <x:c r="M268" s="14"/>
    </x:row>
    <x:row r="269" ht="21" customHeight="1">
      <x:c r="A269" s="7"/>
      <x:c r="B269" s="8"/>
      <x:c r="C269" s="9"/>
      <x:c r="D269" s="10" t="str">
        <x:f>IF(C269="","",IFERROR(VLOOKUP(C269,'基金信息'!$A$6:$B$200,2,FALSE),"代码未找到"))</x:f>
      </x:c>
      <x:c r="E269" s="11"/>
      <x:c r="F269" s="12"/>
      <x:c r="G269" s="13"/>
      <x:c r="H269" s="13"/>
      <x:c r="I269" s="11"/>
      <x:c r="J269" s="11"/>
      <x:c r="K269" s="10" t="str">
        <x:f t="shared" si="4">IF(A269="","",IF(OR(E269="买入",E269="定投",E269="转换转入"),-(F269+I269),IF(OR(E269="卖出",E269="转换转出"),IF(J269&lt;&gt;"",J269,F269-I269),IF(E269="现金分红",J269,0))))</x:f>
      </x:c>
      <x:c r="L269" s="11"/>
      <x:c r="M269" s="14"/>
    </x:row>
    <x:row r="270" ht="21" customHeight="1">
      <x:c r="A270" s="7"/>
      <x:c r="B270" s="8"/>
      <x:c r="C270" s="9"/>
      <x:c r="D270" s="10" t="str">
        <x:f>IF(C270="","",IFERROR(VLOOKUP(C270,'基金信息'!$A$6:$B$200,2,FALSE),"代码未找到"))</x:f>
      </x:c>
      <x:c r="E270" s="11"/>
      <x:c r="F270" s="12"/>
      <x:c r="G270" s="13"/>
      <x:c r="H270" s="13"/>
      <x:c r="I270" s="11"/>
      <x:c r="J270" s="11"/>
      <x:c r="K270" s="10" t="str">
        <x:f t="shared" si="4">IF(A270="","",IF(OR(E270="买入",E270="定投",E270="转换转入"),-(F270+I270),IF(OR(E270="卖出",E270="转换转出"),IF(J270&lt;&gt;"",J270,F270-I270),IF(E270="现金分红",J270,0))))</x:f>
      </x:c>
      <x:c r="L270" s="11"/>
      <x:c r="M270" s="14"/>
    </x:row>
    <x:row r="271" ht="21" customHeight="1">
      <x:c r="A271" s="7"/>
      <x:c r="B271" s="8"/>
      <x:c r="C271" s="9"/>
      <x:c r="D271" s="10" t="str">
        <x:f>IF(C271="","",IFERROR(VLOOKUP(C271,'基金信息'!$A$6:$B$200,2,FALSE),"代码未找到"))</x:f>
      </x:c>
      <x:c r="E271" s="11"/>
      <x:c r="F271" s="12"/>
      <x:c r="G271" s="13"/>
      <x:c r="H271" s="13"/>
      <x:c r="I271" s="11"/>
      <x:c r="J271" s="11"/>
      <x:c r="K271" s="10" t="str">
        <x:f t="shared" si="4">IF(A271="","",IF(OR(E271="买入",E271="定投",E271="转换转入"),-(F271+I271),IF(OR(E271="卖出",E271="转换转出"),IF(J271&lt;&gt;"",J271,F271-I271),IF(E271="现金分红",J271,0))))</x:f>
      </x:c>
      <x:c r="L271" s="11"/>
      <x:c r="M271" s="14"/>
    </x:row>
    <x:row r="272" ht="21" customHeight="1">
      <x:c r="A272" s="7"/>
      <x:c r="B272" s="8"/>
      <x:c r="C272" s="9"/>
      <x:c r="D272" s="10" t="str">
        <x:f>IF(C272="","",IFERROR(VLOOKUP(C272,'基金信息'!$A$6:$B$200,2,FALSE),"代码未找到"))</x:f>
      </x:c>
      <x:c r="E272" s="11"/>
      <x:c r="F272" s="12"/>
      <x:c r="G272" s="13"/>
      <x:c r="H272" s="13"/>
      <x:c r="I272" s="11"/>
      <x:c r="J272" s="11"/>
      <x:c r="K272" s="10" t="str">
        <x:f t="shared" si="4">IF(A272="","",IF(OR(E272="买入",E272="定投",E272="转换转入"),-(F272+I272),IF(OR(E272="卖出",E272="转换转出"),IF(J272&lt;&gt;"",J272,F272-I272),IF(E272="现金分红",J272,0))))</x:f>
      </x:c>
      <x:c r="L272" s="11"/>
      <x:c r="M272" s="14"/>
    </x:row>
    <x:row r="273" ht="21" customHeight="1">
      <x:c r="A273" s="7"/>
      <x:c r="B273" s="8"/>
      <x:c r="C273" s="9"/>
      <x:c r="D273" s="10" t="str">
        <x:f>IF(C273="","",IFERROR(VLOOKUP(C273,'基金信息'!$A$6:$B$200,2,FALSE),"代码未找到"))</x:f>
      </x:c>
      <x:c r="E273" s="11"/>
      <x:c r="F273" s="12"/>
      <x:c r="G273" s="13"/>
      <x:c r="H273" s="13"/>
      <x:c r="I273" s="11"/>
      <x:c r="J273" s="11"/>
      <x:c r="K273" s="10" t="str">
        <x:f t="shared" si="4">IF(A273="","",IF(OR(E273="买入",E273="定投",E273="转换转入"),-(F273+I273),IF(OR(E273="卖出",E273="转换转出"),IF(J273&lt;&gt;"",J273,F273-I273),IF(E273="现金分红",J273,0))))</x:f>
      </x:c>
      <x:c r="L273" s="11"/>
      <x:c r="M273" s="14"/>
    </x:row>
    <x:row r="274" ht="21" customHeight="1">
      <x:c r="A274" s="7"/>
      <x:c r="B274" s="8"/>
      <x:c r="C274" s="9"/>
      <x:c r="D274" s="10" t="str">
        <x:f>IF(C274="","",IFERROR(VLOOKUP(C274,'基金信息'!$A$6:$B$200,2,FALSE),"代码未找到"))</x:f>
      </x:c>
      <x:c r="E274" s="11"/>
      <x:c r="F274" s="12"/>
      <x:c r="G274" s="13"/>
      <x:c r="H274" s="13"/>
      <x:c r="I274" s="11"/>
      <x:c r="J274" s="11"/>
      <x:c r="K274" s="10" t="str">
        <x:f t="shared" si="4">IF(A274="","",IF(OR(E274="买入",E274="定投",E274="转换转入"),-(F274+I274),IF(OR(E274="卖出",E274="转换转出"),IF(J274&lt;&gt;"",J274,F274-I274),IF(E274="现金分红",J274,0))))</x:f>
      </x:c>
      <x:c r="L274" s="11"/>
      <x:c r="M274" s="14"/>
    </x:row>
    <x:row r="275" ht="21" customHeight="1">
      <x:c r="A275" s="7"/>
      <x:c r="B275" s="8"/>
      <x:c r="C275" s="9"/>
      <x:c r="D275" s="10" t="str">
        <x:f>IF(C275="","",IFERROR(VLOOKUP(C275,'基金信息'!$A$6:$B$200,2,FALSE),"代码未找到"))</x:f>
      </x:c>
      <x:c r="E275" s="11"/>
      <x:c r="F275" s="12"/>
      <x:c r="G275" s="13"/>
      <x:c r="H275" s="13"/>
      <x:c r="I275" s="11"/>
      <x:c r="J275" s="11"/>
      <x:c r="K275" s="10" t="str">
        <x:f t="shared" si="4">IF(A275="","",IF(OR(E275="买入",E275="定投",E275="转换转入"),-(F275+I275),IF(OR(E275="卖出",E275="转换转出"),IF(J275&lt;&gt;"",J275,F275-I275),IF(E275="现金分红",J275,0))))</x:f>
      </x:c>
      <x:c r="L275" s="11"/>
      <x:c r="M275" s="14"/>
    </x:row>
    <x:row r="276" ht="21" customHeight="1">
      <x:c r="A276" s="7"/>
      <x:c r="B276" s="8"/>
      <x:c r="C276" s="9"/>
      <x:c r="D276" s="10" t="str">
        <x:f>IF(C276="","",IFERROR(VLOOKUP(C276,'基金信息'!$A$6:$B$200,2,FALSE),"代码未找到"))</x:f>
      </x:c>
      <x:c r="E276" s="11"/>
      <x:c r="F276" s="12"/>
      <x:c r="G276" s="13"/>
      <x:c r="H276" s="13"/>
      <x:c r="I276" s="11"/>
      <x:c r="J276" s="11"/>
      <x:c r="K276" s="10" t="str">
        <x:f t="shared" si="4">IF(A276="","",IF(OR(E276="买入",E276="定投",E276="转换转入"),-(F276+I276),IF(OR(E276="卖出",E276="转换转出"),IF(J276&lt;&gt;"",J276,F276-I276),IF(E276="现金分红",J276,0))))</x:f>
      </x:c>
      <x:c r="L276" s="11"/>
      <x:c r="M276" s="14"/>
    </x:row>
    <x:row r="277" ht="21" customHeight="1">
      <x:c r="A277" s="7"/>
      <x:c r="B277" s="8"/>
      <x:c r="C277" s="9"/>
      <x:c r="D277" s="10" t="str">
        <x:f>IF(C277="","",IFERROR(VLOOKUP(C277,'基金信息'!$A$6:$B$200,2,FALSE),"代码未找到"))</x:f>
      </x:c>
      <x:c r="E277" s="11"/>
      <x:c r="F277" s="12"/>
      <x:c r="G277" s="13"/>
      <x:c r="H277" s="13"/>
      <x:c r="I277" s="11"/>
      <x:c r="J277" s="11"/>
      <x:c r="K277" s="10" t="str">
        <x:f t="shared" si="4">IF(A277="","",IF(OR(E277="买入",E277="定投",E277="转换转入"),-(F277+I277),IF(OR(E277="卖出",E277="转换转出"),IF(J277&lt;&gt;"",J277,F277-I277),IF(E277="现金分红",J277,0))))</x:f>
      </x:c>
      <x:c r="L277" s="11"/>
      <x:c r="M277" s="14"/>
    </x:row>
    <x:row r="278" ht="21" customHeight="1">
      <x:c r="A278" s="7"/>
      <x:c r="B278" s="8"/>
      <x:c r="C278" s="9"/>
      <x:c r="D278" s="10" t="str">
        <x:f>IF(C278="","",IFERROR(VLOOKUP(C278,'基金信息'!$A$6:$B$200,2,FALSE),"代码未找到"))</x:f>
      </x:c>
      <x:c r="E278" s="11"/>
      <x:c r="F278" s="12"/>
      <x:c r="G278" s="13"/>
      <x:c r="H278" s="13"/>
      <x:c r="I278" s="11"/>
      <x:c r="J278" s="11"/>
      <x:c r="K278" s="10" t="str">
        <x:f t="shared" si="4">IF(A278="","",IF(OR(E278="买入",E278="定投",E278="转换转入"),-(F278+I278),IF(OR(E278="卖出",E278="转换转出"),IF(J278&lt;&gt;"",J278,F278-I278),IF(E278="现金分红",J278,0))))</x:f>
      </x:c>
      <x:c r="L278" s="11"/>
      <x:c r="M278" s="14"/>
    </x:row>
    <x:row r="279" ht="21" customHeight="1">
      <x:c r="A279" s="7"/>
      <x:c r="B279" s="8"/>
      <x:c r="C279" s="9"/>
      <x:c r="D279" s="10" t="str">
        <x:f>IF(C279="","",IFERROR(VLOOKUP(C279,'基金信息'!$A$6:$B$200,2,FALSE),"代码未找到"))</x:f>
      </x:c>
      <x:c r="E279" s="11"/>
      <x:c r="F279" s="12"/>
      <x:c r="G279" s="13"/>
      <x:c r="H279" s="13"/>
      <x:c r="I279" s="11"/>
      <x:c r="J279" s="11"/>
      <x:c r="K279" s="10" t="str">
        <x:f t="shared" si="4">IF(A279="","",IF(OR(E279="买入",E279="定投",E279="转换转入"),-(F279+I279),IF(OR(E279="卖出",E279="转换转出"),IF(J279&lt;&gt;"",J279,F279-I279),IF(E279="现金分红",J279,0))))</x:f>
      </x:c>
      <x:c r="L279" s="11"/>
      <x:c r="M279" s="14"/>
    </x:row>
    <x:row r="280" ht="21" customHeight="1">
      <x:c r="A280" s="7"/>
      <x:c r="B280" s="8"/>
      <x:c r="C280" s="9"/>
      <x:c r="D280" s="10" t="str">
        <x:f>IF(C280="","",IFERROR(VLOOKUP(C280,'基金信息'!$A$6:$B$200,2,FALSE),"代码未找到"))</x:f>
      </x:c>
      <x:c r="E280" s="11"/>
      <x:c r="F280" s="12"/>
      <x:c r="G280" s="13"/>
      <x:c r="H280" s="13"/>
      <x:c r="I280" s="11"/>
      <x:c r="J280" s="11"/>
      <x:c r="K280" s="10" t="str">
        <x:f t="shared" si="4">IF(A280="","",IF(OR(E280="买入",E280="定投",E280="转换转入"),-(F280+I280),IF(OR(E280="卖出",E280="转换转出"),IF(J280&lt;&gt;"",J280,F280-I280),IF(E280="现金分红",J280,0))))</x:f>
      </x:c>
      <x:c r="L280" s="11"/>
      <x:c r="M280" s="14"/>
    </x:row>
    <x:row r="281" ht="21" customHeight="1">
      <x:c r="A281" s="7"/>
      <x:c r="B281" s="8"/>
      <x:c r="C281" s="9"/>
      <x:c r="D281" s="10" t="str">
        <x:f>IF(C281="","",IFERROR(VLOOKUP(C281,'基金信息'!$A$6:$B$200,2,FALSE),"代码未找到"))</x:f>
      </x:c>
      <x:c r="E281" s="11"/>
      <x:c r="F281" s="12"/>
      <x:c r="G281" s="13"/>
      <x:c r="H281" s="13"/>
      <x:c r="I281" s="11"/>
      <x:c r="J281" s="11"/>
      <x:c r="K281" s="10" t="str">
        <x:f t="shared" si="4">IF(A281="","",IF(OR(E281="买入",E281="定投",E281="转换转入"),-(F281+I281),IF(OR(E281="卖出",E281="转换转出"),IF(J281&lt;&gt;"",J281,F281-I281),IF(E281="现金分红",J281,0))))</x:f>
      </x:c>
      <x:c r="L281" s="11"/>
      <x:c r="M281" s="14"/>
    </x:row>
    <x:row r="282" ht="21" customHeight="1">
      <x:c r="A282" s="7"/>
      <x:c r="B282" s="8"/>
      <x:c r="C282" s="9"/>
      <x:c r="D282" s="10" t="str">
        <x:f>IF(C282="","",IFERROR(VLOOKUP(C282,'基金信息'!$A$6:$B$200,2,FALSE),"代码未找到"))</x:f>
      </x:c>
      <x:c r="E282" s="11"/>
      <x:c r="F282" s="12"/>
      <x:c r="G282" s="13"/>
      <x:c r="H282" s="13"/>
      <x:c r="I282" s="11"/>
      <x:c r="J282" s="11"/>
      <x:c r="K282" s="10" t="str">
        <x:f t="shared" si="4">IF(A282="","",IF(OR(E282="买入",E282="定投",E282="转换转入"),-(F282+I282),IF(OR(E282="卖出",E282="转换转出"),IF(J282&lt;&gt;"",J282,F282-I282),IF(E282="现金分红",J282,0))))</x:f>
      </x:c>
      <x:c r="L282" s="11"/>
      <x:c r="M282" s="14"/>
    </x:row>
    <x:row r="283" ht="21" customHeight="1">
      <x:c r="A283" s="7"/>
      <x:c r="B283" s="8"/>
      <x:c r="C283" s="9"/>
      <x:c r="D283" s="10" t="str">
        <x:f>IF(C283="","",IFERROR(VLOOKUP(C283,'基金信息'!$A$6:$B$200,2,FALSE),"代码未找到"))</x:f>
      </x:c>
      <x:c r="E283" s="11"/>
      <x:c r="F283" s="12"/>
      <x:c r="G283" s="13"/>
      <x:c r="H283" s="13"/>
      <x:c r="I283" s="11"/>
      <x:c r="J283" s="11"/>
      <x:c r="K283" s="10" t="str">
        <x:f t="shared" si="4">IF(A283="","",IF(OR(E283="买入",E283="定投",E283="转换转入"),-(F283+I283),IF(OR(E283="卖出",E283="转换转出"),IF(J283&lt;&gt;"",J283,F283-I283),IF(E283="现金分红",J283,0))))</x:f>
      </x:c>
      <x:c r="L283" s="11"/>
      <x:c r="M283" s="14"/>
    </x:row>
    <x:row r="284" ht="21" customHeight="1">
      <x:c r="A284" s="7"/>
      <x:c r="B284" s="8"/>
      <x:c r="C284" s="9"/>
      <x:c r="D284" s="10" t="str">
        <x:f>IF(C284="","",IFERROR(VLOOKUP(C284,'基金信息'!$A$6:$B$200,2,FALSE),"代码未找到"))</x:f>
      </x:c>
      <x:c r="E284" s="11"/>
      <x:c r="F284" s="12"/>
      <x:c r="G284" s="13"/>
      <x:c r="H284" s="13"/>
      <x:c r="I284" s="11"/>
      <x:c r="J284" s="11"/>
      <x:c r="K284" s="10" t="str">
        <x:f t="shared" si="4">IF(A284="","",IF(OR(E284="买入",E284="定投",E284="转换转入"),-(F284+I284),IF(OR(E284="卖出",E284="转换转出"),IF(J284&lt;&gt;"",J284,F284-I284),IF(E284="现金分红",J284,0))))</x:f>
      </x:c>
      <x:c r="L284" s="11"/>
      <x:c r="M284" s="14"/>
    </x:row>
    <x:row r="285" ht="21" customHeight="1">
      <x:c r="A285" s="7"/>
      <x:c r="B285" s="8"/>
      <x:c r="C285" s="9"/>
      <x:c r="D285" s="10" t="str">
        <x:f>IF(C285="","",IFERROR(VLOOKUP(C285,'基金信息'!$A$6:$B$200,2,FALSE),"代码未找到"))</x:f>
      </x:c>
      <x:c r="E285" s="11"/>
      <x:c r="F285" s="12"/>
      <x:c r="G285" s="13"/>
      <x:c r="H285" s="13"/>
      <x:c r="I285" s="11"/>
      <x:c r="J285" s="11"/>
      <x:c r="K285" s="10" t="str">
        <x:f t="shared" si="4">IF(A285="","",IF(OR(E285="买入",E285="定投",E285="转换转入"),-(F285+I285),IF(OR(E285="卖出",E285="转换转出"),IF(J285&lt;&gt;"",J285,F285-I285),IF(E285="现金分红",J285,0))))</x:f>
      </x:c>
      <x:c r="L285" s="11"/>
      <x:c r="M285" s="14"/>
    </x:row>
    <x:row r="286" ht="21" customHeight="1">
      <x:c r="A286" s="7"/>
      <x:c r="B286" s="8"/>
      <x:c r="C286" s="9"/>
      <x:c r="D286" s="10" t="str">
        <x:f>IF(C286="","",IFERROR(VLOOKUP(C286,'基金信息'!$A$6:$B$200,2,FALSE),"代码未找到"))</x:f>
      </x:c>
      <x:c r="E286" s="11"/>
      <x:c r="F286" s="12"/>
      <x:c r="G286" s="13"/>
      <x:c r="H286" s="13"/>
      <x:c r="I286" s="11"/>
      <x:c r="J286" s="11"/>
      <x:c r="K286" s="10" t="str">
        <x:f t="shared" si="4">IF(A286="","",IF(OR(E286="买入",E286="定投",E286="转换转入"),-(F286+I286),IF(OR(E286="卖出",E286="转换转出"),IF(J286&lt;&gt;"",J286,F286-I286),IF(E286="现金分红",J286,0))))</x:f>
      </x:c>
      <x:c r="L286" s="11"/>
      <x:c r="M286" s="14"/>
    </x:row>
    <x:row r="287" ht="21" customHeight="1">
      <x:c r="A287" s="7"/>
      <x:c r="B287" s="8"/>
      <x:c r="C287" s="9"/>
      <x:c r="D287" s="10" t="str">
        <x:f>IF(C287="","",IFERROR(VLOOKUP(C287,'基金信息'!$A$6:$B$200,2,FALSE),"代码未找到"))</x:f>
      </x:c>
      <x:c r="E287" s="11"/>
      <x:c r="F287" s="12"/>
      <x:c r="G287" s="13"/>
      <x:c r="H287" s="13"/>
      <x:c r="I287" s="11"/>
      <x:c r="J287" s="11"/>
      <x:c r="K287" s="10" t="str">
        <x:f t="shared" si="4">IF(A287="","",IF(OR(E287="买入",E287="定投",E287="转换转入"),-(F287+I287),IF(OR(E287="卖出",E287="转换转出"),IF(J287&lt;&gt;"",J287,F287-I287),IF(E287="现金分红",J287,0))))</x:f>
      </x:c>
      <x:c r="L287" s="11"/>
      <x:c r="M287" s="14"/>
    </x:row>
    <x:row r="288" ht="21" customHeight="1">
      <x:c r="A288" s="7"/>
      <x:c r="B288" s="8"/>
      <x:c r="C288" s="9"/>
      <x:c r="D288" s="10" t="str">
        <x:f>IF(C288="","",IFERROR(VLOOKUP(C288,'基金信息'!$A$6:$B$200,2,FALSE),"代码未找到"))</x:f>
      </x:c>
      <x:c r="E288" s="11"/>
      <x:c r="F288" s="12"/>
      <x:c r="G288" s="13"/>
      <x:c r="H288" s="13"/>
      <x:c r="I288" s="11"/>
      <x:c r="J288" s="11"/>
      <x:c r="K288" s="10" t="str">
        <x:f t="shared" si="4">IF(A288="","",IF(OR(E288="买入",E288="定投",E288="转换转入"),-(F288+I288),IF(OR(E288="卖出",E288="转换转出"),IF(J288&lt;&gt;"",J288,F288-I288),IF(E288="现金分红",J288,0))))</x:f>
      </x:c>
      <x:c r="L288" s="11"/>
      <x:c r="M288" s="14"/>
    </x:row>
    <x:row r="289" ht="21" customHeight="1">
      <x:c r="A289" s="7"/>
      <x:c r="B289" s="8"/>
      <x:c r="C289" s="9"/>
      <x:c r="D289" s="10" t="str">
        <x:f>IF(C289="","",IFERROR(VLOOKUP(C289,'基金信息'!$A$6:$B$200,2,FALSE),"代码未找到"))</x:f>
      </x:c>
      <x:c r="E289" s="11"/>
      <x:c r="F289" s="12"/>
      <x:c r="G289" s="13"/>
      <x:c r="H289" s="13"/>
      <x:c r="I289" s="11"/>
      <x:c r="J289" s="11"/>
      <x:c r="K289" s="10" t="str">
        <x:f t="shared" si="4">IF(A289="","",IF(OR(E289="买入",E289="定投",E289="转换转入"),-(F289+I289),IF(OR(E289="卖出",E289="转换转出"),IF(J289&lt;&gt;"",J289,F289-I289),IF(E289="现金分红",J289,0))))</x:f>
      </x:c>
      <x:c r="L289" s="11"/>
      <x:c r="M289" s="14"/>
    </x:row>
    <x:row r="290" ht="21" customHeight="1">
      <x:c r="A290" s="7"/>
      <x:c r="B290" s="8"/>
      <x:c r="C290" s="9"/>
      <x:c r="D290" s="10" t="str">
        <x:f>IF(C290="","",IFERROR(VLOOKUP(C290,'基金信息'!$A$6:$B$200,2,FALSE),"代码未找到"))</x:f>
      </x:c>
      <x:c r="E290" s="11"/>
      <x:c r="F290" s="12"/>
      <x:c r="G290" s="13"/>
      <x:c r="H290" s="13"/>
      <x:c r="I290" s="11"/>
      <x:c r="J290" s="11"/>
      <x:c r="K290" s="10" t="str">
        <x:f t="shared" si="4">IF(A290="","",IF(OR(E290="买入",E290="定投",E290="转换转入"),-(F290+I290),IF(OR(E290="卖出",E290="转换转出"),IF(J290&lt;&gt;"",J290,F290-I290),IF(E290="现金分红",J290,0))))</x:f>
      </x:c>
      <x:c r="L290" s="11"/>
      <x:c r="M290" s="14"/>
    </x:row>
    <x:row r="291" ht="21" customHeight="1">
      <x:c r="A291" s="7"/>
      <x:c r="B291" s="8"/>
      <x:c r="C291" s="9"/>
      <x:c r="D291" s="10" t="str">
        <x:f>IF(C291="","",IFERROR(VLOOKUP(C291,'基金信息'!$A$6:$B$200,2,FALSE),"代码未找到"))</x:f>
      </x:c>
      <x:c r="E291" s="11"/>
      <x:c r="F291" s="12"/>
      <x:c r="G291" s="13"/>
      <x:c r="H291" s="13"/>
      <x:c r="I291" s="11"/>
      <x:c r="J291" s="11"/>
      <x:c r="K291" s="10" t="str">
        <x:f t="shared" si="4">IF(A291="","",IF(OR(E291="买入",E291="定投",E291="转换转入"),-(F291+I291),IF(OR(E291="卖出",E291="转换转出"),IF(J291&lt;&gt;"",J291,F291-I291),IF(E291="现金分红",J291,0))))</x:f>
      </x:c>
      <x:c r="L291" s="11"/>
      <x:c r="M291" s="14"/>
    </x:row>
    <x:row r="292" ht="21" customHeight="1">
      <x:c r="A292" s="7"/>
      <x:c r="B292" s="8"/>
      <x:c r="C292" s="9"/>
      <x:c r="D292" s="10" t="str">
        <x:f>IF(C292="","",IFERROR(VLOOKUP(C292,'基金信息'!$A$6:$B$200,2,FALSE),"代码未找到"))</x:f>
      </x:c>
      <x:c r="E292" s="11"/>
      <x:c r="F292" s="12"/>
      <x:c r="G292" s="13"/>
      <x:c r="H292" s="13"/>
      <x:c r="I292" s="11"/>
      <x:c r="J292" s="11"/>
      <x:c r="K292" s="10" t="str">
        <x:f t="shared" si="4">IF(A292="","",IF(OR(E292="买入",E292="定投",E292="转换转入"),-(F292+I292),IF(OR(E292="卖出",E292="转换转出"),IF(J292&lt;&gt;"",J292,F292-I292),IF(E292="现金分红",J292,0))))</x:f>
      </x:c>
      <x:c r="L292" s="11"/>
      <x:c r="M292" s="14"/>
    </x:row>
    <x:row r="293" ht="21" customHeight="1">
      <x:c r="A293" s="7"/>
      <x:c r="B293" s="8"/>
      <x:c r="C293" s="9"/>
      <x:c r="D293" s="10" t="str">
        <x:f>IF(C293="","",IFERROR(VLOOKUP(C293,'基金信息'!$A$6:$B$200,2,FALSE),"代码未找到"))</x:f>
      </x:c>
      <x:c r="E293" s="11"/>
      <x:c r="F293" s="12"/>
      <x:c r="G293" s="13"/>
      <x:c r="H293" s="13"/>
      <x:c r="I293" s="11"/>
      <x:c r="J293" s="11"/>
      <x:c r="K293" s="10" t="str">
        <x:f t="shared" si="4">IF(A293="","",IF(OR(E293="买入",E293="定投",E293="转换转入"),-(F293+I293),IF(OR(E293="卖出",E293="转换转出"),IF(J293&lt;&gt;"",J293,F293-I293),IF(E293="现金分红",J293,0))))</x:f>
      </x:c>
      <x:c r="L293" s="11"/>
      <x:c r="M293" s="14"/>
    </x:row>
    <x:row r="294" ht="21" customHeight="1">
      <x:c r="A294" s="7"/>
      <x:c r="B294" s="8"/>
      <x:c r="C294" s="9"/>
      <x:c r="D294" s="10" t="str">
        <x:f>IF(C294="","",IFERROR(VLOOKUP(C294,'基金信息'!$A$6:$B$200,2,FALSE),"代码未找到"))</x:f>
      </x:c>
      <x:c r="E294" s="11"/>
      <x:c r="F294" s="12"/>
      <x:c r="G294" s="13"/>
      <x:c r="H294" s="13"/>
      <x:c r="I294" s="11"/>
      <x:c r="J294" s="11"/>
      <x:c r="K294" s="10" t="str">
        <x:f t="shared" si="4">IF(A294="","",IF(OR(E294="买入",E294="定投",E294="转换转入"),-(F294+I294),IF(OR(E294="卖出",E294="转换转出"),IF(J294&lt;&gt;"",J294,F294-I294),IF(E294="现金分红",J294,0))))</x:f>
      </x:c>
      <x:c r="L294" s="11"/>
      <x:c r="M294" s="14"/>
    </x:row>
    <x:row r="295" ht="21" customHeight="1">
      <x:c r="A295" s="7"/>
      <x:c r="B295" s="8"/>
      <x:c r="C295" s="9"/>
      <x:c r="D295" s="10" t="str">
        <x:f>IF(C295="","",IFERROR(VLOOKUP(C295,'基金信息'!$A$6:$B$200,2,FALSE),"代码未找到"))</x:f>
      </x:c>
      <x:c r="E295" s="11"/>
      <x:c r="F295" s="12"/>
      <x:c r="G295" s="13"/>
      <x:c r="H295" s="13"/>
      <x:c r="I295" s="11"/>
      <x:c r="J295" s="11"/>
      <x:c r="K295" s="10" t="str">
        <x:f t="shared" si="4">IF(A295="","",IF(OR(E295="买入",E295="定投",E295="转换转入"),-(F295+I295),IF(OR(E295="卖出",E295="转换转出"),IF(J295&lt;&gt;"",J295,F295-I295),IF(E295="现金分红",J295,0))))</x:f>
      </x:c>
      <x:c r="L295" s="11"/>
      <x:c r="M295" s="14"/>
    </x:row>
    <x:row r="296" ht="21" customHeight="1">
      <x:c r="A296" s="7"/>
      <x:c r="B296" s="8"/>
      <x:c r="C296" s="9"/>
      <x:c r="D296" s="10" t="str">
        <x:f>IF(C296="","",IFERROR(VLOOKUP(C296,'基金信息'!$A$6:$B$200,2,FALSE),"代码未找到"))</x:f>
      </x:c>
      <x:c r="E296" s="11"/>
      <x:c r="F296" s="12"/>
      <x:c r="G296" s="13"/>
      <x:c r="H296" s="13"/>
      <x:c r="I296" s="11"/>
      <x:c r="J296" s="11"/>
      <x:c r="K296" s="10" t="str">
        <x:f t="shared" si="4">IF(A296="","",IF(OR(E296="买入",E296="定投",E296="转换转入"),-(F296+I296),IF(OR(E296="卖出",E296="转换转出"),IF(J296&lt;&gt;"",J296,F296-I296),IF(E296="现金分红",J296,0))))</x:f>
      </x:c>
      <x:c r="L296" s="11"/>
      <x:c r="M296" s="14"/>
    </x:row>
    <x:row r="297" ht="21" customHeight="1">
      <x:c r="A297" s="7"/>
      <x:c r="B297" s="8"/>
      <x:c r="C297" s="9"/>
      <x:c r="D297" s="10" t="str">
        <x:f>IF(C297="","",IFERROR(VLOOKUP(C297,'基金信息'!$A$6:$B$200,2,FALSE),"代码未找到"))</x:f>
      </x:c>
      <x:c r="E297" s="11"/>
      <x:c r="F297" s="12"/>
      <x:c r="G297" s="13"/>
      <x:c r="H297" s="13"/>
      <x:c r="I297" s="11"/>
      <x:c r="J297" s="11"/>
      <x:c r="K297" s="10" t="str">
        <x:f t="shared" si="4">IF(A297="","",IF(OR(E297="买入",E297="定投",E297="转换转入"),-(F297+I297),IF(OR(E297="卖出",E297="转换转出"),IF(J297&lt;&gt;"",J297,F297-I297),IF(E297="现金分红",J297,0))))</x:f>
      </x:c>
      <x:c r="L297" s="11"/>
      <x:c r="M297" s="14"/>
    </x:row>
    <x:row r="298" ht="21" customHeight="1">
      <x:c r="A298" s="7"/>
      <x:c r="B298" s="8"/>
      <x:c r="C298" s="9"/>
      <x:c r="D298" s="10" t="str">
        <x:f>IF(C298="","",IFERROR(VLOOKUP(C298,'基金信息'!$A$6:$B$200,2,FALSE),"代码未找到"))</x:f>
      </x:c>
      <x:c r="E298" s="11"/>
      <x:c r="F298" s="12"/>
      <x:c r="G298" s="13"/>
      <x:c r="H298" s="13"/>
      <x:c r="I298" s="11"/>
      <x:c r="J298" s="11"/>
      <x:c r="K298" s="10" t="str">
        <x:f t="shared" si="4">IF(A298="","",IF(OR(E298="买入",E298="定投",E298="转换转入"),-(F298+I298),IF(OR(E298="卖出",E298="转换转出"),IF(J298&lt;&gt;"",J298,F298-I298),IF(E298="现金分红",J298,0))))</x:f>
      </x:c>
      <x:c r="L298" s="11"/>
      <x:c r="M298" s="14"/>
    </x:row>
    <x:row r="299" ht="21" customHeight="1">
      <x:c r="A299" s="7"/>
      <x:c r="B299" s="8"/>
      <x:c r="C299" s="9"/>
      <x:c r="D299" s="10" t="str">
        <x:f>IF(C299="","",IFERROR(VLOOKUP(C299,'基金信息'!$A$6:$B$200,2,FALSE),"代码未找到"))</x:f>
      </x:c>
      <x:c r="E299" s="11"/>
      <x:c r="F299" s="12"/>
      <x:c r="G299" s="13"/>
      <x:c r="H299" s="13"/>
      <x:c r="I299" s="11"/>
      <x:c r="J299" s="11"/>
      <x:c r="K299" s="10" t="str">
        <x:f t="shared" si="4">IF(A299="","",IF(OR(E299="买入",E299="定投",E299="转换转入"),-(F299+I299),IF(OR(E299="卖出",E299="转换转出"),IF(J299&lt;&gt;"",J299,F299-I299),IF(E299="现金分红",J299,0))))</x:f>
      </x:c>
      <x:c r="L299" s="11"/>
      <x:c r="M299" s="14"/>
    </x:row>
    <x:row r="300" ht="21" customHeight="1">
      <x:c r="A300" s="7"/>
      <x:c r="B300" s="8"/>
      <x:c r="C300" s="9"/>
      <x:c r="D300" s="10" t="str">
        <x:f>IF(C300="","",IFERROR(VLOOKUP(C300,'基金信息'!$A$6:$B$200,2,FALSE),"代码未找到"))</x:f>
      </x:c>
      <x:c r="E300" s="11"/>
      <x:c r="F300" s="12"/>
      <x:c r="G300" s="13"/>
      <x:c r="H300" s="13"/>
      <x:c r="I300" s="11"/>
      <x:c r="J300" s="11"/>
      <x:c r="K300" s="10" t="str">
        <x:f t="shared" si="4">IF(A300="","",IF(OR(E300="买入",E300="定投",E300="转换转入"),-(F300+I300),IF(OR(E300="卖出",E300="转换转出"),IF(J300&lt;&gt;"",J300,F300-I300),IF(E300="现金分红",J300,0))))</x:f>
      </x:c>
      <x:c r="L300" s="11"/>
      <x:c r="M300" s="14"/>
    </x:row>
    <x:row r="301" ht="21" customHeight="1">
      <x:c r="A301" s="7"/>
      <x:c r="B301" s="8"/>
      <x:c r="C301" s="9"/>
      <x:c r="D301" s="10" t="str">
        <x:f>IF(C301="","",IFERROR(VLOOKUP(C301,'基金信息'!$A$6:$B$200,2,FALSE),"代码未找到"))</x:f>
      </x:c>
      <x:c r="E301" s="11"/>
      <x:c r="F301" s="12"/>
      <x:c r="G301" s="13"/>
      <x:c r="H301" s="13"/>
      <x:c r="I301" s="11"/>
      <x:c r="J301" s="11"/>
      <x:c r="K301" s="10" t="str">
        <x:f t="shared" si="4">IF(A301="","",IF(OR(E301="买入",E301="定投",E301="转换转入"),-(F301+I301),IF(OR(E301="卖出",E301="转换转出"),IF(J301&lt;&gt;"",J301,F301-I301),IF(E301="现金分红",J301,0))))</x:f>
      </x:c>
      <x:c r="L301" s="11"/>
      <x:c r="M301" s="14"/>
    </x:row>
    <x:row r="302" ht="21" customHeight="1">
      <x:c r="A302" s="7"/>
      <x:c r="B302" s="8"/>
      <x:c r="C302" s="9"/>
      <x:c r="D302" s="10" t="str">
        <x:f>IF(C302="","",IFERROR(VLOOKUP(C302,'基金信息'!$A$6:$B$200,2,FALSE),"代码未找到"))</x:f>
      </x:c>
      <x:c r="E302" s="11"/>
      <x:c r="F302" s="12"/>
      <x:c r="G302" s="13"/>
      <x:c r="H302" s="13"/>
      <x:c r="I302" s="11"/>
      <x:c r="J302" s="11"/>
      <x:c r="K302" s="10" t="str">
        <x:f t="shared" si="4">IF(A302="","",IF(OR(E302="买入",E302="定投",E302="转换转入"),-(F302+I302),IF(OR(E302="卖出",E302="转换转出"),IF(J302&lt;&gt;"",J302,F302-I302),IF(E302="现金分红",J302,0))))</x:f>
      </x:c>
      <x:c r="L302" s="11"/>
      <x:c r="M302" s="14"/>
    </x:row>
    <x:row r="303" ht="21" customHeight="1">
      <x:c r="A303" s="7"/>
      <x:c r="B303" s="8"/>
      <x:c r="C303" s="9"/>
      <x:c r="D303" s="10" t="str">
        <x:f>IF(C303="","",IFERROR(VLOOKUP(C303,'基金信息'!$A$6:$B$200,2,FALSE),"代码未找到"))</x:f>
      </x:c>
      <x:c r="E303" s="11"/>
      <x:c r="F303" s="12"/>
      <x:c r="G303" s="13"/>
      <x:c r="H303" s="13"/>
      <x:c r="I303" s="11"/>
      <x:c r="J303" s="11"/>
      <x:c r="K303" s="10" t="str">
        <x:f t="shared" si="4">IF(A303="","",IF(OR(E303="买入",E303="定投",E303="转换转入"),-(F303+I303),IF(OR(E303="卖出",E303="转换转出"),IF(J303&lt;&gt;"",J303,F303-I303),IF(E303="现金分红",J303,0))))</x:f>
      </x:c>
      <x:c r="L303" s="11"/>
      <x:c r="M303" s="14"/>
    </x:row>
    <x:row r="304" ht="21" customHeight="1">
      <x:c r="A304" s="7"/>
      <x:c r="B304" s="8"/>
      <x:c r="C304" s="9"/>
      <x:c r="D304" s="10" t="str">
        <x:f>IF(C304="","",IFERROR(VLOOKUP(C304,'基金信息'!$A$6:$B$200,2,FALSE),"代码未找到"))</x:f>
      </x:c>
      <x:c r="E304" s="11"/>
      <x:c r="F304" s="12"/>
      <x:c r="G304" s="13"/>
      <x:c r="H304" s="13"/>
      <x:c r="I304" s="11"/>
      <x:c r="J304" s="11"/>
      <x:c r="K304" s="10" t="str">
        <x:f t="shared" si="4">IF(A304="","",IF(OR(E304="买入",E304="定投",E304="转换转入"),-(F304+I304),IF(OR(E304="卖出",E304="转换转出"),IF(J304&lt;&gt;"",J304,F304-I304),IF(E304="现金分红",J304,0))))</x:f>
      </x:c>
      <x:c r="L304" s="11"/>
      <x:c r="M304" s="14"/>
    </x:row>
    <x:row r="305" ht="21" customHeight="1">
      <x:c r="A305" s="7"/>
      <x:c r="B305" s="8"/>
      <x:c r="C305" s="9"/>
      <x:c r="D305" s="10" t="str">
        <x:f>IF(C305="","",IFERROR(VLOOKUP(C305,'基金信息'!$A$6:$B$200,2,FALSE),"代码未找到"))</x:f>
      </x:c>
      <x:c r="E305" s="11"/>
      <x:c r="F305" s="12"/>
      <x:c r="G305" s="13"/>
      <x:c r="H305" s="13"/>
      <x:c r="I305" s="11"/>
      <x:c r="J305" s="11"/>
      <x:c r="K305" s="10" t="str">
        <x:f t="shared" si="4">IF(A305="","",IF(OR(E305="买入",E305="定投",E305="转换转入"),-(F305+I305),IF(OR(E305="卖出",E305="转换转出"),IF(J305&lt;&gt;"",J305,F305-I305),IF(E305="现金分红",J305,0))))</x:f>
      </x:c>
      <x:c r="L305" s="11"/>
      <x:c r="M305" s="14"/>
    </x:row>
    <x:row r="306" ht="21" customHeight="1">
      <x:c r="A306" s="7"/>
      <x:c r="B306" s="8"/>
      <x:c r="C306" s="9"/>
      <x:c r="D306" s="10" t="str">
        <x:f>IF(C306="","",IFERROR(VLOOKUP(C306,'基金信息'!$A$6:$B$200,2,FALSE),"代码未找到"))</x:f>
      </x:c>
      <x:c r="E306" s="11"/>
      <x:c r="F306" s="12"/>
      <x:c r="G306" s="13"/>
      <x:c r="H306" s="13"/>
      <x:c r="I306" s="11"/>
      <x:c r="J306" s="11"/>
      <x:c r="K306" s="10" t="str">
        <x:f t="shared" si="4">IF(A306="","",IF(OR(E306="买入",E306="定投",E306="转换转入"),-(F306+I306),IF(OR(E306="卖出",E306="转换转出"),IF(J306&lt;&gt;"",J306,F306-I306),IF(E306="现金分红",J306,0))))</x:f>
      </x:c>
      <x:c r="L306" s="11"/>
      <x:c r="M306" s="14"/>
    </x:row>
    <x:row r="307" ht="21" customHeight="1">
      <x:c r="A307" s="7"/>
      <x:c r="B307" s="8"/>
      <x:c r="C307" s="9"/>
      <x:c r="D307" s="10" t="str">
        <x:f>IF(C307="","",IFERROR(VLOOKUP(C307,'基金信息'!$A$6:$B$200,2,FALSE),"代码未找到"))</x:f>
      </x:c>
      <x:c r="E307" s="11"/>
      <x:c r="F307" s="12"/>
      <x:c r="G307" s="13"/>
      <x:c r="H307" s="13"/>
      <x:c r="I307" s="11"/>
      <x:c r="J307" s="11"/>
      <x:c r="K307" s="10" t="str">
        <x:f t="shared" si="4">IF(A307="","",IF(OR(E307="买入",E307="定投",E307="转换转入"),-(F307+I307),IF(OR(E307="卖出",E307="转换转出"),IF(J307&lt;&gt;"",J307,F307-I307),IF(E307="现金分红",J307,0))))</x:f>
      </x:c>
      <x:c r="L307" s="11"/>
      <x:c r="M307" s="14"/>
    </x:row>
    <x:row r="308" ht="21" customHeight="1">
      <x:c r="A308" s="7"/>
      <x:c r="B308" s="8"/>
      <x:c r="C308" s="9"/>
      <x:c r="D308" s="10" t="str">
        <x:f>IF(C308="","",IFERROR(VLOOKUP(C308,'基金信息'!$A$6:$B$200,2,FALSE),"代码未找到"))</x:f>
      </x:c>
      <x:c r="E308" s="11"/>
      <x:c r="F308" s="12"/>
      <x:c r="G308" s="13"/>
      <x:c r="H308" s="13"/>
      <x:c r="I308" s="11"/>
      <x:c r="J308" s="11"/>
      <x:c r="K308" s="10" t="str">
        <x:f t="shared" si="4">IF(A308="","",IF(OR(E308="买入",E308="定投",E308="转换转入"),-(F308+I308),IF(OR(E308="卖出",E308="转换转出"),IF(J308&lt;&gt;"",J308,F308-I308),IF(E308="现金分红",J308,0))))</x:f>
      </x:c>
      <x:c r="L308" s="11"/>
      <x:c r="M308" s="14"/>
    </x:row>
    <x:row r="309" ht="21" customHeight="1">
      <x:c r="A309" s="7"/>
      <x:c r="B309" s="8"/>
      <x:c r="C309" s="9"/>
      <x:c r="D309" s="10" t="str">
        <x:f>IF(C309="","",IFERROR(VLOOKUP(C309,'基金信息'!$A$6:$B$200,2,FALSE),"代码未找到"))</x:f>
      </x:c>
      <x:c r="E309" s="11"/>
      <x:c r="F309" s="12"/>
      <x:c r="G309" s="13"/>
      <x:c r="H309" s="13"/>
      <x:c r="I309" s="11"/>
      <x:c r="J309" s="11"/>
      <x:c r="K309" s="10" t="str">
        <x:f t="shared" si="4">IF(A309="","",IF(OR(E309="买入",E309="定投",E309="转换转入"),-(F309+I309),IF(OR(E309="卖出",E309="转换转出"),IF(J309&lt;&gt;"",J309,F309-I309),IF(E309="现金分红",J309,0))))</x:f>
      </x:c>
      <x:c r="L309" s="11"/>
      <x:c r="M309" s="14"/>
    </x:row>
    <x:row r="310" ht="21" customHeight="1">
      <x:c r="A310" s="7"/>
      <x:c r="B310" s="8"/>
      <x:c r="C310" s="9"/>
      <x:c r="D310" s="10" t="str">
        <x:f>IF(C310="","",IFERROR(VLOOKUP(C310,'基金信息'!$A$6:$B$200,2,FALSE),"代码未找到"))</x:f>
      </x:c>
      <x:c r="E310" s="11"/>
      <x:c r="F310" s="12"/>
      <x:c r="G310" s="13"/>
      <x:c r="H310" s="13"/>
      <x:c r="I310" s="11"/>
      <x:c r="J310" s="11"/>
      <x:c r="K310" s="10" t="str">
        <x:f t="shared" si="4">IF(A310="","",IF(OR(E310="买入",E310="定投",E310="转换转入"),-(F310+I310),IF(OR(E310="卖出",E310="转换转出"),IF(J310&lt;&gt;"",J310,F310-I310),IF(E310="现金分红",J310,0))))</x:f>
      </x:c>
      <x:c r="L310" s="11"/>
      <x:c r="M310" s="14"/>
    </x:row>
    <x:row r="311" ht="21" customHeight="1">
      <x:c r="A311" s="7"/>
      <x:c r="B311" s="8"/>
      <x:c r="C311" s="9"/>
      <x:c r="D311" s="10" t="str">
        <x:f>IF(C311="","",IFERROR(VLOOKUP(C311,'基金信息'!$A$6:$B$200,2,FALSE),"代码未找到"))</x:f>
      </x:c>
      <x:c r="E311" s="11"/>
      <x:c r="F311" s="12"/>
      <x:c r="G311" s="13"/>
      <x:c r="H311" s="13"/>
      <x:c r="I311" s="11"/>
      <x:c r="J311" s="11"/>
      <x:c r="K311" s="10" t="str">
        <x:f t="shared" si="4">IF(A311="","",IF(OR(E311="买入",E311="定投",E311="转换转入"),-(F311+I311),IF(OR(E311="卖出",E311="转换转出"),IF(J311&lt;&gt;"",J311,F311-I311),IF(E311="现金分红",J311,0))))</x:f>
      </x:c>
      <x:c r="L311" s="11"/>
      <x:c r="M311" s="14"/>
    </x:row>
    <x:row r="312" ht="21" customHeight="1">
      <x:c r="A312" s="7"/>
      <x:c r="B312" s="8"/>
      <x:c r="C312" s="9"/>
      <x:c r="D312" s="10" t="str">
        <x:f>IF(C312="","",IFERROR(VLOOKUP(C312,'基金信息'!$A$6:$B$200,2,FALSE),"代码未找到"))</x:f>
      </x:c>
      <x:c r="E312" s="11"/>
      <x:c r="F312" s="12"/>
      <x:c r="G312" s="13"/>
      <x:c r="H312" s="13"/>
      <x:c r="I312" s="11"/>
      <x:c r="J312" s="11"/>
      <x:c r="K312" s="10" t="str">
        <x:f t="shared" si="4">IF(A312="","",IF(OR(E312="买入",E312="定投",E312="转换转入"),-(F312+I312),IF(OR(E312="卖出",E312="转换转出"),IF(J312&lt;&gt;"",J312,F312-I312),IF(E312="现金分红",J312,0))))</x:f>
      </x:c>
      <x:c r="L312" s="11"/>
      <x:c r="M312" s="14"/>
    </x:row>
    <x:row r="313" ht="21" customHeight="1">
      <x:c r="A313" s="7"/>
      <x:c r="B313" s="8"/>
      <x:c r="C313" s="9"/>
      <x:c r="D313" s="10" t="str">
        <x:f>IF(C313="","",IFERROR(VLOOKUP(C313,'基金信息'!$A$6:$B$200,2,FALSE),"代码未找到"))</x:f>
      </x:c>
      <x:c r="E313" s="11"/>
      <x:c r="F313" s="12"/>
      <x:c r="G313" s="13"/>
      <x:c r="H313" s="13"/>
      <x:c r="I313" s="11"/>
      <x:c r="J313" s="11"/>
      <x:c r="K313" s="10" t="str">
        <x:f t="shared" si="4">IF(A313="","",IF(OR(E313="买入",E313="定投",E313="转换转入"),-(F313+I313),IF(OR(E313="卖出",E313="转换转出"),IF(J313&lt;&gt;"",J313,F313-I313),IF(E313="现金分红",J313,0))))</x:f>
      </x:c>
      <x:c r="L313" s="11"/>
      <x:c r="M313" s="14"/>
    </x:row>
    <x:row r="314" ht="21" customHeight="1">
      <x:c r="A314" s="7"/>
      <x:c r="B314" s="8"/>
      <x:c r="C314" s="9"/>
      <x:c r="D314" s="10" t="str">
        <x:f>IF(C314="","",IFERROR(VLOOKUP(C314,'基金信息'!$A$6:$B$200,2,FALSE),"代码未找到"))</x:f>
      </x:c>
      <x:c r="E314" s="11"/>
      <x:c r="F314" s="12"/>
      <x:c r="G314" s="13"/>
      <x:c r="H314" s="13"/>
      <x:c r="I314" s="11"/>
      <x:c r="J314" s="11"/>
      <x:c r="K314" s="10" t="str">
        <x:f t="shared" si="4">IF(A314="","",IF(OR(E314="买入",E314="定投",E314="转换转入"),-(F314+I314),IF(OR(E314="卖出",E314="转换转出"),IF(J314&lt;&gt;"",J314,F314-I314),IF(E314="现金分红",J314,0))))</x:f>
      </x:c>
      <x:c r="L314" s="11"/>
      <x:c r="M314" s="14"/>
    </x:row>
    <x:row r="315" ht="21" customHeight="1">
      <x:c r="A315" s="7"/>
      <x:c r="B315" s="8"/>
      <x:c r="C315" s="9"/>
      <x:c r="D315" s="10" t="str">
        <x:f>IF(C315="","",IFERROR(VLOOKUP(C315,'基金信息'!$A$6:$B$200,2,FALSE),"代码未找到"))</x:f>
      </x:c>
      <x:c r="E315" s="11"/>
      <x:c r="F315" s="12"/>
      <x:c r="G315" s="13"/>
      <x:c r="H315" s="13"/>
      <x:c r="I315" s="11"/>
      <x:c r="J315" s="11"/>
      <x:c r="K315" s="10" t="str">
        <x:f t="shared" si="4">IF(A315="","",IF(OR(E315="买入",E315="定投",E315="转换转入"),-(F315+I315),IF(OR(E315="卖出",E315="转换转出"),IF(J315&lt;&gt;"",J315,F315-I315),IF(E315="现金分红",J315,0))))</x:f>
      </x:c>
      <x:c r="L315" s="11"/>
      <x:c r="M315" s="14"/>
    </x:row>
    <x:row r="316" ht="21" customHeight="1">
      <x:c r="A316" s="7"/>
      <x:c r="B316" s="8"/>
      <x:c r="C316" s="9"/>
      <x:c r="D316" s="10" t="str">
        <x:f>IF(C316="","",IFERROR(VLOOKUP(C316,'基金信息'!$A$6:$B$200,2,FALSE),"代码未找到"))</x:f>
      </x:c>
      <x:c r="E316" s="11"/>
      <x:c r="F316" s="12"/>
      <x:c r="G316" s="13"/>
      <x:c r="H316" s="13"/>
      <x:c r="I316" s="11"/>
      <x:c r="J316" s="11"/>
      <x:c r="K316" s="10" t="str">
        <x:f t="shared" si="4">IF(A316="","",IF(OR(E316="买入",E316="定投",E316="转换转入"),-(F316+I316),IF(OR(E316="卖出",E316="转换转出"),IF(J316&lt;&gt;"",J316,F316-I316),IF(E316="现金分红",J316,0))))</x:f>
      </x:c>
      <x:c r="L316" s="11"/>
      <x:c r="M316" s="14"/>
    </x:row>
    <x:row r="317" ht="21" customHeight="1">
      <x:c r="A317" s="7"/>
      <x:c r="B317" s="8"/>
      <x:c r="C317" s="9"/>
      <x:c r="D317" s="10" t="str">
        <x:f>IF(C317="","",IFERROR(VLOOKUP(C317,'基金信息'!$A$6:$B$200,2,FALSE),"代码未找到"))</x:f>
      </x:c>
      <x:c r="E317" s="11"/>
      <x:c r="F317" s="12"/>
      <x:c r="G317" s="13"/>
      <x:c r="H317" s="13"/>
      <x:c r="I317" s="11"/>
      <x:c r="J317" s="11"/>
      <x:c r="K317" s="10" t="str">
        <x:f t="shared" si="4">IF(A317="","",IF(OR(E317="买入",E317="定投",E317="转换转入"),-(F317+I317),IF(OR(E317="卖出",E317="转换转出"),IF(J317&lt;&gt;"",J317,F317-I317),IF(E317="现金分红",J317,0))))</x:f>
      </x:c>
      <x:c r="L317" s="11"/>
      <x:c r="M317" s="14"/>
    </x:row>
    <x:row r="318" ht="21" customHeight="1">
      <x:c r="A318" s="7"/>
      <x:c r="B318" s="8"/>
      <x:c r="C318" s="9"/>
      <x:c r="D318" s="10" t="str">
        <x:f>IF(C318="","",IFERROR(VLOOKUP(C318,'基金信息'!$A$6:$B$200,2,FALSE),"代码未找到"))</x:f>
      </x:c>
      <x:c r="E318" s="11"/>
      <x:c r="F318" s="12"/>
      <x:c r="G318" s="13"/>
      <x:c r="H318" s="13"/>
      <x:c r="I318" s="11"/>
      <x:c r="J318" s="11"/>
      <x:c r="K318" s="10" t="str">
        <x:f t="shared" si="4">IF(A318="","",IF(OR(E318="买入",E318="定投",E318="转换转入"),-(F318+I318),IF(OR(E318="卖出",E318="转换转出"),IF(J318&lt;&gt;"",J318,F318-I318),IF(E318="现金分红",J318,0))))</x:f>
      </x:c>
      <x:c r="L318" s="11"/>
      <x:c r="M318" s="14"/>
    </x:row>
    <x:row r="319" ht="21" customHeight="1">
      <x:c r="A319" s="7"/>
      <x:c r="B319" s="8"/>
      <x:c r="C319" s="9"/>
      <x:c r="D319" s="10" t="str">
        <x:f>IF(C319="","",IFERROR(VLOOKUP(C319,'基金信息'!$A$6:$B$200,2,FALSE),"代码未找到"))</x:f>
      </x:c>
      <x:c r="E319" s="11"/>
      <x:c r="F319" s="12"/>
      <x:c r="G319" s="13"/>
      <x:c r="H319" s="13"/>
      <x:c r="I319" s="11"/>
      <x:c r="J319" s="11"/>
      <x:c r="K319" s="10" t="str">
        <x:f t="shared" si="4">IF(A319="","",IF(OR(E319="买入",E319="定投",E319="转换转入"),-(F319+I319),IF(OR(E319="卖出",E319="转换转出"),IF(J319&lt;&gt;"",J319,F319-I319),IF(E319="现金分红",J319,0))))</x:f>
      </x:c>
      <x:c r="L319" s="11"/>
      <x:c r="M319" s="14"/>
    </x:row>
    <x:row r="320" ht="21" customHeight="1">
      <x:c r="A320" s="7"/>
      <x:c r="B320" s="8"/>
      <x:c r="C320" s="9"/>
      <x:c r="D320" s="10" t="str">
        <x:f>IF(C320="","",IFERROR(VLOOKUP(C320,'基金信息'!$A$6:$B$200,2,FALSE),"代码未找到"))</x:f>
      </x:c>
      <x:c r="E320" s="11"/>
      <x:c r="F320" s="12"/>
      <x:c r="G320" s="13"/>
      <x:c r="H320" s="13"/>
      <x:c r="I320" s="11"/>
      <x:c r="J320" s="11"/>
      <x:c r="K320" s="10" t="str">
        <x:f t="shared" si="4">IF(A320="","",IF(OR(E320="买入",E320="定投",E320="转换转入"),-(F320+I320),IF(OR(E320="卖出",E320="转换转出"),IF(J320&lt;&gt;"",J320,F320-I320),IF(E320="现金分红",J320,0))))</x:f>
      </x:c>
      <x:c r="L320" s="11"/>
      <x:c r="M320" s="14"/>
    </x:row>
    <x:row r="321" ht="21" customHeight="1">
      <x:c r="A321" s="7"/>
      <x:c r="B321" s="8"/>
      <x:c r="C321" s="9"/>
      <x:c r="D321" s="10" t="str">
        <x:f>IF(C321="","",IFERROR(VLOOKUP(C321,'基金信息'!$A$6:$B$200,2,FALSE),"代码未找到"))</x:f>
      </x:c>
      <x:c r="E321" s="11"/>
      <x:c r="F321" s="12"/>
      <x:c r="G321" s="13"/>
      <x:c r="H321" s="13"/>
      <x:c r="I321" s="11"/>
      <x:c r="J321" s="11"/>
      <x:c r="K321" s="10" t="str">
        <x:f t="shared" si="4">IF(A321="","",IF(OR(E321="买入",E321="定投",E321="转换转入"),-(F321+I321),IF(OR(E321="卖出",E321="转换转出"),IF(J321&lt;&gt;"",J321,F321-I321),IF(E321="现金分红",J321,0))))</x:f>
      </x:c>
      <x:c r="L321" s="11"/>
      <x:c r="M321" s="14"/>
    </x:row>
    <x:row r="322" ht="21" customHeight="1">
      <x:c r="A322" s="7"/>
      <x:c r="B322" s="8"/>
      <x:c r="C322" s="9"/>
      <x:c r="D322" s="10" t="str">
        <x:f>IF(C322="","",IFERROR(VLOOKUP(C322,'基金信息'!$A$6:$B$200,2,FALSE),"代码未找到"))</x:f>
      </x:c>
      <x:c r="E322" s="11"/>
      <x:c r="F322" s="12"/>
      <x:c r="G322" s="13"/>
      <x:c r="H322" s="13"/>
      <x:c r="I322" s="11"/>
      <x:c r="J322" s="11"/>
      <x:c r="K322" s="10" t="str">
        <x:f t="shared" si="4">IF(A322="","",IF(OR(E322="买入",E322="定投",E322="转换转入"),-(F322+I322),IF(OR(E322="卖出",E322="转换转出"),IF(J322&lt;&gt;"",J322,F322-I322),IF(E322="现金分红",J322,0))))</x:f>
      </x:c>
      <x:c r="L322" s="11"/>
      <x:c r="M322" s="14"/>
    </x:row>
    <x:row r="323" ht="21" customHeight="1">
      <x:c r="A323" s="7"/>
      <x:c r="B323" s="8"/>
      <x:c r="C323" s="9"/>
      <x:c r="D323" s="10" t="str">
        <x:f>IF(C323="","",IFERROR(VLOOKUP(C323,'基金信息'!$A$6:$B$200,2,FALSE),"代码未找到"))</x:f>
      </x:c>
      <x:c r="E323" s="11"/>
      <x:c r="F323" s="12"/>
      <x:c r="G323" s="13"/>
      <x:c r="H323" s="13"/>
      <x:c r="I323" s="11"/>
      <x:c r="J323" s="11"/>
      <x:c r="K323" s="10" t="str">
        <x:f t="shared" si="4">IF(A323="","",IF(OR(E323="买入",E323="定投",E323="转换转入"),-(F323+I323),IF(OR(E323="卖出",E323="转换转出"),IF(J323&lt;&gt;"",J323,F323-I323),IF(E323="现金分红",J323,0))))</x:f>
      </x:c>
      <x:c r="L323" s="11"/>
      <x:c r="M323" s="14"/>
    </x:row>
    <x:row r="324" ht="21" customHeight="1">
      <x:c r="A324" s="7"/>
      <x:c r="B324" s="8"/>
      <x:c r="C324" s="9"/>
      <x:c r="D324" s="10" t="str">
        <x:f>IF(C324="","",IFERROR(VLOOKUP(C324,'基金信息'!$A$6:$B$200,2,FALSE),"代码未找到"))</x:f>
      </x:c>
      <x:c r="E324" s="11"/>
      <x:c r="F324" s="12"/>
      <x:c r="G324" s="13"/>
      <x:c r="H324" s="13"/>
      <x:c r="I324" s="11"/>
      <x:c r="J324" s="11"/>
      <x:c r="K324" s="10" t="str">
        <x:f t="shared" si="4">IF(A324="","",IF(OR(E324="买入",E324="定投",E324="转换转入"),-(F324+I324),IF(OR(E324="卖出",E324="转换转出"),IF(J324&lt;&gt;"",J324,F324-I324),IF(E324="现金分红",J324,0))))</x:f>
      </x:c>
      <x:c r="L324" s="11"/>
      <x:c r="M324" s="14"/>
    </x:row>
    <x:row r="325" ht="21" customHeight="1">
      <x:c r="A325" s="7"/>
      <x:c r="B325" s="8"/>
      <x:c r="C325" s="9"/>
      <x:c r="D325" s="10" t="str">
        <x:f>IF(C325="","",IFERROR(VLOOKUP(C325,'基金信息'!$A$6:$B$200,2,FALSE),"代码未找到"))</x:f>
      </x:c>
      <x:c r="E325" s="11"/>
      <x:c r="F325" s="12"/>
      <x:c r="G325" s="13"/>
      <x:c r="H325" s="13"/>
      <x:c r="I325" s="11"/>
      <x:c r="J325" s="11"/>
      <x:c r="K325" s="10" t="str">
        <x:f t="shared" ref="K325:K388" si="5">IF(A325="","",IF(OR(E325="买入",E325="定投",E325="转换转入"),-(F325+I325),IF(OR(E325="卖出",E325="转换转出"),IF(J325&lt;&gt;"",J325,F325-I325),IF(E325="现金分红",J325,0))))</x:f>
      </x:c>
      <x:c r="L325" s="11"/>
      <x:c r="M325" s="14"/>
    </x:row>
    <x:row r="326" ht="21" customHeight="1">
      <x:c r="A326" s="7"/>
      <x:c r="B326" s="8"/>
      <x:c r="C326" s="9"/>
      <x:c r="D326" s="10" t="str">
        <x:f>IF(C326="","",IFERROR(VLOOKUP(C326,'基金信息'!$A$6:$B$200,2,FALSE),"代码未找到"))</x:f>
      </x:c>
      <x:c r="E326" s="11"/>
      <x:c r="F326" s="12"/>
      <x:c r="G326" s="13"/>
      <x:c r="H326" s="13"/>
      <x:c r="I326" s="11"/>
      <x:c r="J326" s="11"/>
      <x:c r="K326" s="10" t="str">
        <x:f t="shared" si="5">IF(A326="","",IF(OR(E326="买入",E326="定投",E326="转换转入"),-(F326+I326),IF(OR(E326="卖出",E326="转换转出"),IF(J326&lt;&gt;"",J326,F326-I326),IF(E326="现金分红",J326,0))))</x:f>
      </x:c>
      <x:c r="L326" s="11"/>
      <x:c r="M326" s="14"/>
    </x:row>
    <x:row r="327" ht="21" customHeight="1">
      <x:c r="A327" s="7"/>
      <x:c r="B327" s="8"/>
      <x:c r="C327" s="9"/>
      <x:c r="D327" s="10" t="str">
        <x:f>IF(C327="","",IFERROR(VLOOKUP(C327,'基金信息'!$A$6:$B$200,2,FALSE),"代码未找到"))</x:f>
      </x:c>
      <x:c r="E327" s="11"/>
      <x:c r="F327" s="12"/>
      <x:c r="G327" s="13"/>
      <x:c r="H327" s="13"/>
      <x:c r="I327" s="11"/>
      <x:c r="J327" s="11"/>
      <x:c r="K327" s="10" t="str">
        <x:f t="shared" si="5">IF(A327="","",IF(OR(E327="买入",E327="定投",E327="转换转入"),-(F327+I327),IF(OR(E327="卖出",E327="转换转出"),IF(J327&lt;&gt;"",J327,F327-I327),IF(E327="现金分红",J327,0))))</x:f>
      </x:c>
      <x:c r="L327" s="11"/>
      <x:c r="M327" s="14"/>
    </x:row>
    <x:row r="328" ht="21" customHeight="1">
      <x:c r="A328" s="7"/>
      <x:c r="B328" s="8"/>
      <x:c r="C328" s="9"/>
      <x:c r="D328" s="10" t="str">
        <x:f>IF(C328="","",IFERROR(VLOOKUP(C328,'基金信息'!$A$6:$B$200,2,FALSE),"代码未找到"))</x:f>
      </x:c>
      <x:c r="E328" s="11"/>
      <x:c r="F328" s="12"/>
      <x:c r="G328" s="13"/>
      <x:c r="H328" s="13"/>
      <x:c r="I328" s="11"/>
      <x:c r="J328" s="11"/>
      <x:c r="K328" s="10" t="str">
        <x:f t="shared" si="5">IF(A328="","",IF(OR(E328="买入",E328="定投",E328="转换转入"),-(F328+I328),IF(OR(E328="卖出",E328="转换转出"),IF(J328&lt;&gt;"",J328,F328-I328),IF(E328="现金分红",J328,0))))</x:f>
      </x:c>
      <x:c r="L328" s="11"/>
      <x:c r="M328" s="14"/>
    </x:row>
    <x:row r="329" ht="21" customHeight="1">
      <x:c r="A329" s="7"/>
      <x:c r="B329" s="8"/>
      <x:c r="C329" s="9"/>
      <x:c r="D329" s="10" t="str">
        <x:f>IF(C329="","",IFERROR(VLOOKUP(C329,'基金信息'!$A$6:$B$200,2,FALSE),"代码未找到"))</x:f>
      </x:c>
      <x:c r="E329" s="11"/>
      <x:c r="F329" s="12"/>
      <x:c r="G329" s="13"/>
      <x:c r="H329" s="13"/>
      <x:c r="I329" s="11"/>
      <x:c r="J329" s="11"/>
      <x:c r="K329" s="10" t="str">
        <x:f t="shared" si="5">IF(A329="","",IF(OR(E329="买入",E329="定投",E329="转换转入"),-(F329+I329),IF(OR(E329="卖出",E329="转换转出"),IF(J329&lt;&gt;"",J329,F329-I329),IF(E329="现金分红",J329,0))))</x:f>
      </x:c>
      <x:c r="L329" s="11"/>
      <x:c r="M329" s="14"/>
    </x:row>
    <x:row r="330" ht="21" customHeight="1">
      <x:c r="A330" s="7"/>
      <x:c r="B330" s="8"/>
      <x:c r="C330" s="9"/>
      <x:c r="D330" s="10" t="str">
        <x:f>IF(C330="","",IFERROR(VLOOKUP(C330,'基金信息'!$A$6:$B$200,2,FALSE),"代码未找到"))</x:f>
      </x:c>
      <x:c r="E330" s="11"/>
      <x:c r="F330" s="12"/>
      <x:c r="G330" s="13"/>
      <x:c r="H330" s="13"/>
      <x:c r="I330" s="11"/>
      <x:c r="J330" s="11"/>
      <x:c r="K330" s="10" t="str">
        <x:f t="shared" si="5">IF(A330="","",IF(OR(E330="买入",E330="定投",E330="转换转入"),-(F330+I330),IF(OR(E330="卖出",E330="转换转出"),IF(J330&lt;&gt;"",J330,F330-I330),IF(E330="现金分红",J330,0))))</x:f>
      </x:c>
      <x:c r="L330" s="11"/>
      <x:c r="M330" s="14"/>
    </x:row>
    <x:row r="331" ht="21" customHeight="1">
      <x:c r="A331" s="7"/>
      <x:c r="B331" s="8"/>
      <x:c r="C331" s="9"/>
      <x:c r="D331" s="10" t="str">
        <x:f>IF(C331="","",IFERROR(VLOOKUP(C331,'基金信息'!$A$6:$B$200,2,FALSE),"代码未找到"))</x:f>
      </x:c>
      <x:c r="E331" s="11"/>
      <x:c r="F331" s="12"/>
      <x:c r="G331" s="13"/>
      <x:c r="H331" s="13"/>
      <x:c r="I331" s="11"/>
      <x:c r="J331" s="11"/>
      <x:c r="K331" s="10" t="str">
        <x:f t="shared" si="5">IF(A331="","",IF(OR(E331="买入",E331="定投",E331="转换转入"),-(F331+I331),IF(OR(E331="卖出",E331="转换转出"),IF(J331&lt;&gt;"",J331,F331-I331),IF(E331="现金分红",J331,0))))</x:f>
      </x:c>
      <x:c r="L331" s="11"/>
      <x:c r="M331" s="14"/>
    </x:row>
    <x:row r="332" ht="21" customHeight="1">
      <x:c r="A332" s="7"/>
      <x:c r="B332" s="8"/>
      <x:c r="C332" s="9"/>
      <x:c r="D332" s="10" t="str">
        <x:f>IF(C332="","",IFERROR(VLOOKUP(C332,'基金信息'!$A$6:$B$200,2,FALSE),"代码未找到"))</x:f>
      </x:c>
      <x:c r="E332" s="11"/>
      <x:c r="F332" s="12"/>
      <x:c r="G332" s="13"/>
      <x:c r="H332" s="13"/>
      <x:c r="I332" s="11"/>
      <x:c r="J332" s="11"/>
      <x:c r="K332" s="10" t="str">
        <x:f t="shared" si="5">IF(A332="","",IF(OR(E332="买入",E332="定投",E332="转换转入"),-(F332+I332),IF(OR(E332="卖出",E332="转换转出"),IF(J332&lt;&gt;"",J332,F332-I332),IF(E332="现金分红",J332,0))))</x:f>
      </x:c>
      <x:c r="L332" s="11"/>
      <x:c r="M332" s="14"/>
    </x:row>
    <x:row r="333" ht="21" customHeight="1">
      <x:c r="A333" s="7"/>
      <x:c r="B333" s="8"/>
      <x:c r="C333" s="9"/>
      <x:c r="D333" s="10" t="str">
        <x:f>IF(C333="","",IFERROR(VLOOKUP(C333,'基金信息'!$A$6:$B$200,2,FALSE),"代码未找到"))</x:f>
      </x:c>
      <x:c r="E333" s="11"/>
      <x:c r="F333" s="12"/>
      <x:c r="G333" s="13"/>
      <x:c r="H333" s="13"/>
      <x:c r="I333" s="11"/>
      <x:c r="J333" s="11"/>
      <x:c r="K333" s="10" t="str">
        <x:f t="shared" si="5">IF(A333="","",IF(OR(E333="买入",E333="定投",E333="转换转入"),-(F333+I333),IF(OR(E333="卖出",E333="转换转出"),IF(J333&lt;&gt;"",J333,F333-I333),IF(E333="现金分红",J333,0))))</x:f>
      </x:c>
      <x:c r="L333" s="11"/>
      <x:c r="M333" s="14"/>
    </x:row>
    <x:row r="334" ht="21" customHeight="1">
      <x:c r="A334" s="7"/>
      <x:c r="B334" s="8"/>
      <x:c r="C334" s="9"/>
      <x:c r="D334" s="10" t="str">
        <x:f>IF(C334="","",IFERROR(VLOOKUP(C334,'基金信息'!$A$6:$B$200,2,FALSE),"代码未找到"))</x:f>
      </x:c>
      <x:c r="E334" s="11"/>
      <x:c r="F334" s="12"/>
      <x:c r="G334" s="13"/>
      <x:c r="H334" s="13"/>
      <x:c r="I334" s="11"/>
      <x:c r="J334" s="11"/>
      <x:c r="K334" s="10" t="str">
        <x:f t="shared" si="5">IF(A334="","",IF(OR(E334="买入",E334="定投",E334="转换转入"),-(F334+I334),IF(OR(E334="卖出",E334="转换转出"),IF(J334&lt;&gt;"",J334,F334-I334),IF(E334="现金分红",J334,0))))</x:f>
      </x:c>
      <x:c r="L334" s="11"/>
      <x:c r="M334" s="14"/>
    </x:row>
    <x:row r="335" ht="21" customHeight="1">
      <x:c r="A335" s="7"/>
      <x:c r="B335" s="8"/>
      <x:c r="C335" s="9"/>
      <x:c r="D335" s="10" t="str">
        <x:f>IF(C335="","",IFERROR(VLOOKUP(C335,'基金信息'!$A$6:$B$200,2,FALSE),"代码未找到"))</x:f>
      </x:c>
      <x:c r="E335" s="11"/>
      <x:c r="F335" s="12"/>
      <x:c r="G335" s="13"/>
      <x:c r="H335" s="13"/>
      <x:c r="I335" s="11"/>
      <x:c r="J335" s="11"/>
      <x:c r="K335" s="10" t="str">
        <x:f t="shared" si="5">IF(A335="","",IF(OR(E335="买入",E335="定投",E335="转换转入"),-(F335+I335),IF(OR(E335="卖出",E335="转换转出"),IF(J335&lt;&gt;"",J335,F335-I335),IF(E335="现金分红",J335,0))))</x:f>
      </x:c>
      <x:c r="L335" s="11"/>
      <x:c r="M335" s="14"/>
    </x:row>
    <x:row r="336" ht="21" customHeight="1">
      <x:c r="A336" s="7"/>
      <x:c r="B336" s="8"/>
      <x:c r="C336" s="9"/>
      <x:c r="D336" s="10" t="str">
        <x:f>IF(C336="","",IFERROR(VLOOKUP(C336,'基金信息'!$A$6:$B$200,2,FALSE),"代码未找到"))</x:f>
      </x:c>
      <x:c r="E336" s="11"/>
      <x:c r="F336" s="12"/>
      <x:c r="G336" s="13"/>
      <x:c r="H336" s="13"/>
      <x:c r="I336" s="11"/>
      <x:c r="J336" s="11"/>
      <x:c r="K336" s="10" t="str">
        <x:f t="shared" si="5">IF(A336="","",IF(OR(E336="买入",E336="定投",E336="转换转入"),-(F336+I336),IF(OR(E336="卖出",E336="转换转出"),IF(J336&lt;&gt;"",J336,F336-I336),IF(E336="现金分红",J336,0))))</x:f>
      </x:c>
      <x:c r="L336" s="11"/>
      <x:c r="M336" s="14"/>
    </x:row>
    <x:row r="337" ht="21" customHeight="1">
      <x:c r="A337" s="7"/>
      <x:c r="B337" s="8"/>
      <x:c r="C337" s="9"/>
      <x:c r="D337" s="10" t="str">
        <x:f>IF(C337="","",IFERROR(VLOOKUP(C337,'基金信息'!$A$6:$B$200,2,FALSE),"代码未找到"))</x:f>
      </x:c>
      <x:c r="E337" s="11"/>
      <x:c r="F337" s="12"/>
      <x:c r="G337" s="13"/>
      <x:c r="H337" s="13"/>
      <x:c r="I337" s="11"/>
      <x:c r="J337" s="11"/>
      <x:c r="K337" s="10" t="str">
        <x:f t="shared" si="5">IF(A337="","",IF(OR(E337="买入",E337="定投",E337="转换转入"),-(F337+I337),IF(OR(E337="卖出",E337="转换转出"),IF(J337&lt;&gt;"",J337,F337-I337),IF(E337="现金分红",J337,0))))</x:f>
      </x:c>
      <x:c r="L337" s="11"/>
      <x:c r="M337" s="14"/>
    </x:row>
    <x:row r="338" ht="21" customHeight="1">
      <x:c r="A338" s="7"/>
      <x:c r="B338" s="8"/>
      <x:c r="C338" s="9"/>
      <x:c r="D338" s="10" t="str">
        <x:f>IF(C338="","",IFERROR(VLOOKUP(C338,'基金信息'!$A$6:$B$200,2,FALSE),"代码未找到"))</x:f>
      </x:c>
      <x:c r="E338" s="11"/>
      <x:c r="F338" s="12"/>
      <x:c r="G338" s="13"/>
      <x:c r="H338" s="13"/>
      <x:c r="I338" s="11"/>
      <x:c r="J338" s="11"/>
      <x:c r="K338" s="10" t="str">
        <x:f t="shared" si="5">IF(A338="","",IF(OR(E338="买入",E338="定投",E338="转换转入"),-(F338+I338),IF(OR(E338="卖出",E338="转换转出"),IF(J338&lt;&gt;"",J338,F338-I338),IF(E338="现金分红",J338,0))))</x:f>
      </x:c>
      <x:c r="L338" s="11"/>
      <x:c r="M338" s="14"/>
    </x:row>
    <x:row r="339" ht="21" customHeight="1">
      <x:c r="A339" s="7"/>
      <x:c r="B339" s="8"/>
      <x:c r="C339" s="9"/>
      <x:c r="D339" s="10" t="str">
        <x:f>IF(C339="","",IFERROR(VLOOKUP(C339,'基金信息'!$A$6:$B$200,2,FALSE),"代码未找到"))</x:f>
      </x:c>
      <x:c r="E339" s="11"/>
      <x:c r="F339" s="12"/>
      <x:c r="G339" s="13"/>
      <x:c r="H339" s="13"/>
      <x:c r="I339" s="11"/>
      <x:c r="J339" s="11"/>
      <x:c r="K339" s="10" t="str">
        <x:f t="shared" si="5">IF(A339="","",IF(OR(E339="买入",E339="定投",E339="转换转入"),-(F339+I339),IF(OR(E339="卖出",E339="转换转出"),IF(J339&lt;&gt;"",J339,F339-I339),IF(E339="现金分红",J339,0))))</x:f>
      </x:c>
      <x:c r="L339" s="11"/>
      <x:c r="M339" s="14"/>
    </x:row>
    <x:row r="340" ht="21" customHeight="1">
      <x:c r="A340" s="7"/>
      <x:c r="B340" s="8"/>
      <x:c r="C340" s="9"/>
      <x:c r="D340" s="10" t="str">
        <x:f>IF(C340="","",IFERROR(VLOOKUP(C340,'基金信息'!$A$6:$B$200,2,FALSE),"代码未找到"))</x:f>
      </x:c>
      <x:c r="E340" s="11"/>
      <x:c r="F340" s="12"/>
      <x:c r="G340" s="13"/>
      <x:c r="H340" s="13"/>
      <x:c r="I340" s="11"/>
      <x:c r="J340" s="11"/>
      <x:c r="K340" s="10" t="str">
        <x:f t="shared" si="5">IF(A340="","",IF(OR(E340="买入",E340="定投",E340="转换转入"),-(F340+I340),IF(OR(E340="卖出",E340="转换转出"),IF(J340&lt;&gt;"",J340,F340-I340),IF(E340="现金分红",J340,0))))</x:f>
      </x:c>
      <x:c r="L340" s="11"/>
      <x:c r="M340" s="14"/>
    </x:row>
    <x:row r="341" ht="21" customHeight="1">
      <x:c r="A341" s="7"/>
      <x:c r="B341" s="8"/>
      <x:c r="C341" s="9"/>
      <x:c r="D341" s="10" t="str">
        <x:f>IF(C341="","",IFERROR(VLOOKUP(C341,'基金信息'!$A$6:$B$200,2,FALSE),"代码未找到"))</x:f>
      </x:c>
      <x:c r="E341" s="11"/>
      <x:c r="F341" s="12"/>
      <x:c r="G341" s="13"/>
      <x:c r="H341" s="13"/>
      <x:c r="I341" s="11"/>
      <x:c r="J341" s="11"/>
      <x:c r="K341" s="10" t="str">
        <x:f t="shared" si="5">IF(A341="","",IF(OR(E341="买入",E341="定投",E341="转换转入"),-(F341+I341),IF(OR(E341="卖出",E341="转换转出"),IF(J341&lt;&gt;"",J341,F341-I341),IF(E341="现金分红",J341,0))))</x:f>
      </x:c>
      <x:c r="L341" s="11"/>
      <x:c r="M341" s="14"/>
    </x:row>
    <x:row r="342" ht="21" customHeight="1">
      <x:c r="A342" s="7"/>
      <x:c r="B342" s="8"/>
      <x:c r="C342" s="9"/>
      <x:c r="D342" s="10" t="str">
        <x:f>IF(C342="","",IFERROR(VLOOKUP(C342,'基金信息'!$A$6:$B$200,2,FALSE),"代码未找到"))</x:f>
      </x:c>
      <x:c r="E342" s="11"/>
      <x:c r="F342" s="12"/>
      <x:c r="G342" s="13"/>
      <x:c r="H342" s="13"/>
      <x:c r="I342" s="11"/>
      <x:c r="J342" s="11"/>
      <x:c r="K342" s="10" t="str">
        <x:f t="shared" si="5">IF(A342="","",IF(OR(E342="买入",E342="定投",E342="转换转入"),-(F342+I342),IF(OR(E342="卖出",E342="转换转出"),IF(J342&lt;&gt;"",J342,F342-I342),IF(E342="现金分红",J342,0))))</x:f>
      </x:c>
      <x:c r="L342" s="11"/>
      <x:c r="M342" s="14"/>
    </x:row>
    <x:row r="343" ht="21" customHeight="1">
      <x:c r="A343" s="7"/>
      <x:c r="B343" s="8"/>
      <x:c r="C343" s="9"/>
      <x:c r="D343" s="10" t="str">
        <x:f>IF(C343="","",IFERROR(VLOOKUP(C343,'基金信息'!$A$6:$B$200,2,FALSE),"代码未找到"))</x:f>
      </x:c>
      <x:c r="E343" s="11"/>
      <x:c r="F343" s="12"/>
      <x:c r="G343" s="13"/>
      <x:c r="H343" s="13"/>
      <x:c r="I343" s="11"/>
      <x:c r="J343" s="11"/>
      <x:c r="K343" s="10" t="str">
        <x:f t="shared" si="5">IF(A343="","",IF(OR(E343="买入",E343="定投",E343="转换转入"),-(F343+I343),IF(OR(E343="卖出",E343="转换转出"),IF(J343&lt;&gt;"",J343,F343-I343),IF(E343="现金分红",J343,0))))</x:f>
      </x:c>
      <x:c r="L343" s="11"/>
      <x:c r="M343" s="14"/>
    </x:row>
    <x:row r="344" ht="21" customHeight="1">
      <x:c r="A344" s="7"/>
      <x:c r="B344" s="8"/>
      <x:c r="C344" s="9"/>
      <x:c r="D344" s="10" t="str">
        <x:f>IF(C344="","",IFERROR(VLOOKUP(C344,'基金信息'!$A$6:$B$200,2,FALSE),"代码未找到"))</x:f>
      </x:c>
      <x:c r="E344" s="11"/>
      <x:c r="F344" s="12"/>
      <x:c r="G344" s="13"/>
      <x:c r="H344" s="13"/>
      <x:c r="I344" s="11"/>
      <x:c r="J344" s="11"/>
      <x:c r="K344" s="10" t="str">
        <x:f t="shared" si="5">IF(A344="","",IF(OR(E344="买入",E344="定投",E344="转换转入"),-(F344+I344),IF(OR(E344="卖出",E344="转换转出"),IF(J344&lt;&gt;"",J344,F344-I344),IF(E344="现金分红",J344,0))))</x:f>
      </x:c>
      <x:c r="L344" s="11"/>
      <x:c r="M344" s="14"/>
    </x:row>
    <x:row r="345" ht="21" customHeight="1">
      <x:c r="A345" s="7"/>
      <x:c r="B345" s="8"/>
      <x:c r="C345" s="9"/>
      <x:c r="D345" s="10" t="str">
        <x:f>IF(C345="","",IFERROR(VLOOKUP(C345,'基金信息'!$A$6:$B$200,2,FALSE),"代码未找到"))</x:f>
      </x:c>
      <x:c r="E345" s="11"/>
      <x:c r="F345" s="12"/>
      <x:c r="G345" s="13"/>
      <x:c r="H345" s="13"/>
      <x:c r="I345" s="11"/>
      <x:c r="J345" s="11"/>
      <x:c r="K345" s="10" t="str">
        <x:f t="shared" si="5">IF(A345="","",IF(OR(E345="买入",E345="定投",E345="转换转入"),-(F345+I345),IF(OR(E345="卖出",E345="转换转出"),IF(J345&lt;&gt;"",J345,F345-I345),IF(E345="现金分红",J345,0))))</x:f>
      </x:c>
      <x:c r="L345" s="11"/>
      <x:c r="M345" s="14"/>
    </x:row>
    <x:row r="346" ht="21" customHeight="1">
      <x:c r="A346" s="7"/>
      <x:c r="B346" s="8"/>
      <x:c r="C346" s="9"/>
      <x:c r="D346" s="10" t="str">
        <x:f>IF(C346="","",IFERROR(VLOOKUP(C346,'基金信息'!$A$6:$B$200,2,FALSE),"代码未找到"))</x:f>
      </x:c>
      <x:c r="E346" s="11"/>
      <x:c r="F346" s="12"/>
      <x:c r="G346" s="13"/>
      <x:c r="H346" s="13"/>
      <x:c r="I346" s="11"/>
      <x:c r="J346" s="11"/>
      <x:c r="K346" s="10" t="str">
        <x:f t="shared" si="5">IF(A346="","",IF(OR(E346="买入",E346="定投",E346="转换转入"),-(F346+I346),IF(OR(E346="卖出",E346="转换转出"),IF(J346&lt;&gt;"",J346,F346-I346),IF(E346="现金分红",J346,0))))</x:f>
      </x:c>
      <x:c r="L346" s="11"/>
      <x:c r="M346" s="14"/>
    </x:row>
    <x:row r="347" ht="21" customHeight="1">
      <x:c r="A347" s="7"/>
      <x:c r="B347" s="8"/>
      <x:c r="C347" s="9"/>
      <x:c r="D347" s="10" t="str">
        <x:f>IF(C347="","",IFERROR(VLOOKUP(C347,'基金信息'!$A$6:$B$200,2,FALSE),"代码未找到"))</x:f>
      </x:c>
      <x:c r="E347" s="11"/>
      <x:c r="F347" s="12"/>
      <x:c r="G347" s="13"/>
      <x:c r="H347" s="13"/>
      <x:c r="I347" s="11"/>
      <x:c r="J347" s="11"/>
      <x:c r="K347" s="10" t="str">
        <x:f t="shared" si="5">IF(A347="","",IF(OR(E347="买入",E347="定投",E347="转换转入"),-(F347+I347),IF(OR(E347="卖出",E347="转换转出"),IF(J347&lt;&gt;"",J347,F347-I347),IF(E347="现金分红",J347,0))))</x:f>
      </x:c>
      <x:c r="L347" s="11"/>
      <x:c r="M347" s="14"/>
    </x:row>
    <x:row r="348" ht="21" customHeight="1">
      <x:c r="A348" s="7"/>
      <x:c r="B348" s="8"/>
      <x:c r="C348" s="9"/>
      <x:c r="D348" s="10" t="str">
        <x:f>IF(C348="","",IFERROR(VLOOKUP(C348,'基金信息'!$A$6:$B$200,2,FALSE),"代码未找到"))</x:f>
      </x:c>
      <x:c r="E348" s="11"/>
      <x:c r="F348" s="12"/>
      <x:c r="G348" s="13"/>
      <x:c r="H348" s="13"/>
      <x:c r="I348" s="11"/>
      <x:c r="J348" s="11"/>
      <x:c r="K348" s="10" t="str">
        <x:f t="shared" si="5">IF(A348="","",IF(OR(E348="买入",E348="定投",E348="转换转入"),-(F348+I348),IF(OR(E348="卖出",E348="转换转出"),IF(J348&lt;&gt;"",J348,F348-I348),IF(E348="现金分红",J348,0))))</x:f>
      </x:c>
      <x:c r="L348" s="11"/>
      <x:c r="M348" s="14"/>
    </x:row>
    <x:row r="349" ht="21" customHeight="1">
      <x:c r="A349" s="7"/>
      <x:c r="B349" s="8"/>
      <x:c r="C349" s="9"/>
      <x:c r="D349" s="10" t="str">
        <x:f>IF(C349="","",IFERROR(VLOOKUP(C349,'基金信息'!$A$6:$B$200,2,FALSE),"代码未找到"))</x:f>
      </x:c>
      <x:c r="E349" s="11"/>
      <x:c r="F349" s="12"/>
      <x:c r="G349" s="13"/>
      <x:c r="H349" s="13"/>
      <x:c r="I349" s="11"/>
      <x:c r="J349" s="11"/>
      <x:c r="K349" s="10" t="str">
        <x:f t="shared" si="5">IF(A349="","",IF(OR(E349="买入",E349="定投",E349="转换转入"),-(F349+I349),IF(OR(E349="卖出",E349="转换转出"),IF(J349&lt;&gt;"",J349,F349-I349),IF(E349="现金分红",J349,0))))</x:f>
      </x:c>
      <x:c r="L349" s="11"/>
      <x:c r="M349" s="14"/>
    </x:row>
    <x:row r="350" ht="21" customHeight="1">
      <x:c r="A350" s="7"/>
      <x:c r="B350" s="8"/>
      <x:c r="C350" s="9"/>
      <x:c r="D350" s="10" t="str">
        <x:f>IF(C350="","",IFERROR(VLOOKUP(C350,'基金信息'!$A$6:$B$200,2,FALSE),"代码未找到"))</x:f>
      </x:c>
      <x:c r="E350" s="11"/>
      <x:c r="F350" s="12"/>
      <x:c r="G350" s="13"/>
      <x:c r="H350" s="13"/>
      <x:c r="I350" s="11"/>
      <x:c r="J350" s="11"/>
      <x:c r="K350" s="10" t="str">
        <x:f t="shared" si="5">IF(A350="","",IF(OR(E350="买入",E350="定投",E350="转换转入"),-(F350+I350),IF(OR(E350="卖出",E350="转换转出"),IF(J350&lt;&gt;"",J350,F350-I350),IF(E350="现金分红",J350,0))))</x:f>
      </x:c>
      <x:c r="L350" s="11"/>
      <x:c r="M350" s="14"/>
    </x:row>
    <x:row r="351" ht="21" customHeight="1">
      <x:c r="A351" s="7"/>
      <x:c r="B351" s="8"/>
      <x:c r="C351" s="9"/>
      <x:c r="D351" s="10" t="str">
        <x:f>IF(C351="","",IFERROR(VLOOKUP(C351,'基金信息'!$A$6:$B$200,2,FALSE),"代码未找到"))</x:f>
      </x:c>
      <x:c r="E351" s="11"/>
      <x:c r="F351" s="12"/>
      <x:c r="G351" s="13"/>
      <x:c r="H351" s="13"/>
      <x:c r="I351" s="11"/>
      <x:c r="J351" s="11"/>
      <x:c r="K351" s="10" t="str">
        <x:f t="shared" si="5">IF(A351="","",IF(OR(E351="买入",E351="定投",E351="转换转入"),-(F351+I351),IF(OR(E351="卖出",E351="转换转出"),IF(J351&lt;&gt;"",J351,F351-I351),IF(E351="现金分红",J351,0))))</x:f>
      </x:c>
      <x:c r="L351" s="11"/>
      <x:c r="M351" s="14"/>
    </x:row>
    <x:row r="352" ht="21" customHeight="1">
      <x:c r="A352" s="7"/>
      <x:c r="B352" s="8"/>
      <x:c r="C352" s="9"/>
      <x:c r="D352" s="10" t="str">
        <x:f>IF(C352="","",IFERROR(VLOOKUP(C352,'基金信息'!$A$6:$B$200,2,FALSE),"代码未找到"))</x:f>
      </x:c>
      <x:c r="E352" s="11"/>
      <x:c r="F352" s="12"/>
      <x:c r="G352" s="13"/>
      <x:c r="H352" s="13"/>
      <x:c r="I352" s="11"/>
      <x:c r="J352" s="11"/>
      <x:c r="K352" s="10" t="str">
        <x:f t="shared" si="5">IF(A352="","",IF(OR(E352="买入",E352="定投",E352="转换转入"),-(F352+I352),IF(OR(E352="卖出",E352="转换转出"),IF(J352&lt;&gt;"",J352,F352-I352),IF(E352="现金分红",J352,0))))</x:f>
      </x:c>
      <x:c r="L352" s="11"/>
      <x:c r="M352" s="14"/>
    </x:row>
    <x:row r="353" ht="21" customHeight="1">
      <x:c r="A353" s="7"/>
      <x:c r="B353" s="8"/>
      <x:c r="C353" s="9"/>
      <x:c r="D353" s="10" t="str">
        <x:f>IF(C353="","",IFERROR(VLOOKUP(C353,'基金信息'!$A$6:$B$200,2,FALSE),"代码未找到"))</x:f>
      </x:c>
      <x:c r="E353" s="11"/>
      <x:c r="F353" s="12"/>
      <x:c r="G353" s="13"/>
      <x:c r="H353" s="13"/>
      <x:c r="I353" s="11"/>
      <x:c r="J353" s="11"/>
      <x:c r="K353" s="10" t="str">
        <x:f t="shared" si="5">IF(A353="","",IF(OR(E353="买入",E353="定投",E353="转换转入"),-(F353+I353),IF(OR(E353="卖出",E353="转换转出"),IF(J353&lt;&gt;"",J353,F353-I353),IF(E353="现金分红",J353,0))))</x:f>
      </x:c>
      <x:c r="L353" s="11"/>
      <x:c r="M353" s="14"/>
    </x:row>
    <x:row r="354" ht="21" customHeight="1">
      <x:c r="A354" s="7"/>
      <x:c r="B354" s="8"/>
      <x:c r="C354" s="9"/>
      <x:c r="D354" s="10" t="str">
        <x:f>IF(C354="","",IFERROR(VLOOKUP(C354,'基金信息'!$A$6:$B$200,2,FALSE),"代码未找到"))</x:f>
      </x:c>
      <x:c r="E354" s="11"/>
      <x:c r="F354" s="12"/>
      <x:c r="G354" s="13"/>
      <x:c r="H354" s="13"/>
      <x:c r="I354" s="11"/>
      <x:c r="J354" s="11"/>
      <x:c r="K354" s="10" t="str">
        <x:f t="shared" si="5">IF(A354="","",IF(OR(E354="买入",E354="定投",E354="转换转入"),-(F354+I354),IF(OR(E354="卖出",E354="转换转出"),IF(J354&lt;&gt;"",J354,F354-I354),IF(E354="现金分红",J354,0))))</x:f>
      </x:c>
      <x:c r="L354" s="11"/>
      <x:c r="M354" s="14"/>
    </x:row>
    <x:row r="355" ht="21" customHeight="1">
      <x:c r="A355" s="7"/>
      <x:c r="B355" s="8"/>
      <x:c r="C355" s="9"/>
      <x:c r="D355" s="10" t="str">
        <x:f>IF(C355="","",IFERROR(VLOOKUP(C355,'基金信息'!$A$6:$B$200,2,FALSE),"代码未找到"))</x:f>
      </x:c>
      <x:c r="E355" s="11"/>
      <x:c r="F355" s="12"/>
      <x:c r="G355" s="13"/>
      <x:c r="H355" s="13"/>
      <x:c r="I355" s="11"/>
      <x:c r="J355" s="11"/>
      <x:c r="K355" s="10" t="str">
        <x:f t="shared" si="5">IF(A355="","",IF(OR(E355="买入",E355="定投",E355="转换转入"),-(F355+I355),IF(OR(E355="卖出",E355="转换转出"),IF(J355&lt;&gt;"",J355,F355-I355),IF(E355="现金分红",J355,0))))</x:f>
      </x:c>
      <x:c r="L355" s="11"/>
      <x:c r="M355" s="14"/>
    </x:row>
    <x:row r="356" ht="21" customHeight="1">
      <x:c r="A356" s="7"/>
      <x:c r="B356" s="8"/>
      <x:c r="C356" s="9"/>
      <x:c r="D356" s="10" t="str">
        <x:f>IF(C356="","",IFERROR(VLOOKUP(C356,'基金信息'!$A$6:$B$200,2,FALSE),"代码未找到"))</x:f>
      </x:c>
      <x:c r="E356" s="11"/>
      <x:c r="F356" s="12"/>
      <x:c r="G356" s="13"/>
      <x:c r="H356" s="13"/>
      <x:c r="I356" s="11"/>
      <x:c r="J356" s="11"/>
      <x:c r="K356" s="10" t="str">
        <x:f t="shared" si="5">IF(A356="","",IF(OR(E356="买入",E356="定投",E356="转换转入"),-(F356+I356),IF(OR(E356="卖出",E356="转换转出"),IF(J356&lt;&gt;"",J356,F356-I356),IF(E356="现金分红",J356,0))))</x:f>
      </x:c>
      <x:c r="L356" s="11"/>
      <x:c r="M356" s="14"/>
    </x:row>
    <x:row r="357" ht="21" customHeight="1">
      <x:c r="A357" s="7"/>
      <x:c r="B357" s="8"/>
      <x:c r="C357" s="9"/>
      <x:c r="D357" s="10" t="str">
        <x:f>IF(C357="","",IFERROR(VLOOKUP(C357,'基金信息'!$A$6:$B$200,2,FALSE),"代码未找到"))</x:f>
      </x:c>
      <x:c r="E357" s="11"/>
      <x:c r="F357" s="12"/>
      <x:c r="G357" s="13"/>
      <x:c r="H357" s="13"/>
      <x:c r="I357" s="11"/>
      <x:c r="J357" s="11"/>
      <x:c r="K357" s="10" t="str">
        <x:f t="shared" si="5">IF(A357="","",IF(OR(E357="买入",E357="定投",E357="转换转入"),-(F357+I357),IF(OR(E357="卖出",E357="转换转出"),IF(J357&lt;&gt;"",J357,F357-I357),IF(E357="现金分红",J357,0))))</x:f>
      </x:c>
      <x:c r="L357" s="11"/>
      <x:c r="M357" s="14"/>
    </x:row>
    <x:row r="358" ht="21" customHeight="1">
      <x:c r="A358" s="7"/>
      <x:c r="B358" s="8"/>
      <x:c r="C358" s="9"/>
      <x:c r="D358" s="10" t="str">
        <x:f>IF(C358="","",IFERROR(VLOOKUP(C358,'基金信息'!$A$6:$B$200,2,FALSE),"代码未找到"))</x:f>
      </x:c>
      <x:c r="E358" s="11"/>
      <x:c r="F358" s="12"/>
      <x:c r="G358" s="13"/>
      <x:c r="H358" s="13"/>
      <x:c r="I358" s="11"/>
      <x:c r="J358" s="11"/>
      <x:c r="K358" s="10" t="str">
        <x:f t="shared" si="5">IF(A358="","",IF(OR(E358="买入",E358="定投",E358="转换转入"),-(F358+I358),IF(OR(E358="卖出",E358="转换转出"),IF(J358&lt;&gt;"",J358,F358-I358),IF(E358="现金分红",J358,0))))</x:f>
      </x:c>
      <x:c r="L358" s="11"/>
      <x:c r="M358" s="14"/>
    </x:row>
    <x:row r="359" ht="21" customHeight="1">
      <x:c r="A359" s="7"/>
      <x:c r="B359" s="8"/>
      <x:c r="C359" s="9"/>
      <x:c r="D359" s="10" t="str">
        <x:f>IF(C359="","",IFERROR(VLOOKUP(C359,'基金信息'!$A$6:$B$200,2,FALSE),"代码未找到"))</x:f>
      </x:c>
      <x:c r="E359" s="11"/>
      <x:c r="F359" s="12"/>
      <x:c r="G359" s="13"/>
      <x:c r="H359" s="13"/>
      <x:c r="I359" s="11"/>
      <x:c r="J359" s="11"/>
      <x:c r="K359" s="10" t="str">
        <x:f t="shared" si="5">IF(A359="","",IF(OR(E359="买入",E359="定投",E359="转换转入"),-(F359+I359),IF(OR(E359="卖出",E359="转换转出"),IF(J359&lt;&gt;"",J359,F359-I359),IF(E359="现金分红",J359,0))))</x:f>
      </x:c>
      <x:c r="L359" s="11"/>
      <x:c r="M359" s="14"/>
    </x:row>
    <x:row r="360" ht="21" customHeight="1">
      <x:c r="A360" s="7"/>
      <x:c r="B360" s="8"/>
      <x:c r="C360" s="9"/>
      <x:c r="D360" s="10" t="str">
        <x:f>IF(C360="","",IFERROR(VLOOKUP(C360,'基金信息'!$A$6:$B$200,2,FALSE),"代码未找到"))</x:f>
      </x:c>
      <x:c r="E360" s="11"/>
      <x:c r="F360" s="12"/>
      <x:c r="G360" s="13"/>
      <x:c r="H360" s="13"/>
      <x:c r="I360" s="11"/>
      <x:c r="J360" s="11"/>
      <x:c r="K360" s="10" t="str">
        <x:f t="shared" si="5">IF(A360="","",IF(OR(E360="买入",E360="定投",E360="转换转入"),-(F360+I360),IF(OR(E360="卖出",E360="转换转出"),IF(J360&lt;&gt;"",J360,F360-I360),IF(E360="现金分红",J360,0))))</x:f>
      </x:c>
      <x:c r="L360" s="11"/>
      <x:c r="M360" s="14"/>
    </x:row>
    <x:row r="361" ht="21" customHeight="1">
      <x:c r="A361" s="7"/>
      <x:c r="B361" s="8"/>
      <x:c r="C361" s="9"/>
      <x:c r="D361" s="10" t="str">
        <x:f>IF(C361="","",IFERROR(VLOOKUP(C361,'基金信息'!$A$6:$B$200,2,FALSE),"代码未找到"))</x:f>
      </x:c>
      <x:c r="E361" s="11"/>
      <x:c r="F361" s="12"/>
      <x:c r="G361" s="13"/>
      <x:c r="H361" s="13"/>
      <x:c r="I361" s="11"/>
      <x:c r="J361" s="11"/>
      <x:c r="K361" s="10" t="str">
        <x:f t="shared" si="5">IF(A361="","",IF(OR(E361="买入",E361="定投",E361="转换转入"),-(F361+I361),IF(OR(E361="卖出",E361="转换转出"),IF(J361&lt;&gt;"",J361,F361-I361),IF(E361="现金分红",J361,0))))</x:f>
      </x:c>
      <x:c r="L361" s="11"/>
      <x:c r="M361" s="14"/>
    </x:row>
    <x:row r="362" ht="21" customHeight="1">
      <x:c r="A362" s="7"/>
      <x:c r="B362" s="8"/>
      <x:c r="C362" s="9"/>
      <x:c r="D362" s="10" t="str">
        <x:f>IF(C362="","",IFERROR(VLOOKUP(C362,'基金信息'!$A$6:$B$200,2,FALSE),"代码未找到"))</x:f>
      </x:c>
      <x:c r="E362" s="11"/>
      <x:c r="F362" s="12"/>
      <x:c r="G362" s="13"/>
      <x:c r="H362" s="13"/>
      <x:c r="I362" s="11"/>
      <x:c r="J362" s="11"/>
      <x:c r="K362" s="10" t="str">
        <x:f t="shared" si="5">IF(A362="","",IF(OR(E362="买入",E362="定投",E362="转换转入"),-(F362+I362),IF(OR(E362="卖出",E362="转换转出"),IF(J362&lt;&gt;"",J362,F362-I362),IF(E362="现金分红",J362,0))))</x:f>
      </x:c>
      <x:c r="L362" s="11"/>
      <x:c r="M362" s="14"/>
    </x:row>
    <x:row r="363" ht="21" customHeight="1">
      <x:c r="A363" s="7"/>
      <x:c r="B363" s="8"/>
      <x:c r="C363" s="9"/>
      <x:c r="D363" s="10" t="str">
        <x:f>IF(C363="","",IFERROR(VLOOKUP(C363,'基金信息'!$A$6:$B$200,2,FALSE),"代码未找到"))</x:f>
      </x:c>
      <x:c r="E363" s="11"/>
      <x:c r="F363" s="12"/>
      <x:c r="G363" s="13"/>
      <x:c r="H363" s="13"/>
      <x:c r="I363" s="11"/>
      <x:c r="J363" s="11"/>
      <x:c r="K363" s="10" t="str">
        <x:f t="shared" si="5">IF(A363="","",IF(OR(E363="买入",E363="定投",E363="转换转入"),-(F363+I363),IF(OR(E363="卖出",E363="转换转出"),IF(J363&lt;&gt;"",J363,F363-I363),IF(E363="现金分红",J363,0))))</x:f>
      </x:c>
      <x:c r="L363" s="11"/>
      <x:c r="M363" s="14"/>
    </x:row>
    <x:row r="364" ht="21" customHeight="1">
      <x:c r="A364" s="7"/>
      <x:c r="B364" s="8"/>
      <x:c r="C364" s="9"/>
      <x:c r="D364" s="10" t="str">
        <x:f>IF(C364="","",IFERROR(VLOOKUP(C364,'基金信息'!$A$6:$B$200,2,FALSE),"代码未找到"))</x:f>
      </x:c>
      <x:c r="E364" s="11"/>
      <x:c r="F364" s="12"/>
      <x:c r="G364" s="13"/>
      <x:c r="H364" s="13"/>
      <x:c r="I364" s="11"/>
      <x:c r="J364" s="11"/>
      <x:c r="K364" s="10" t="str">
        <x:f t="shared" si="5">IF(A364="","",IF(OR(E364="买入",E364="定投",E364="转换转入"),-(F364+I364),IF(OR(E364="卖出",E364="转换转出"),IF(J364&lt;&gt;"",J364,F364-I364),IF(E364="现金分红",J364,0))))</x:f>
      </x:c>
      <x:c r="L364" s="11"/>
      <x:c r="M364" s="14"/>
    </x:row>
    <x:row r="365" ht="21" customHeight="1">
      <x:c r="A365" s="7"/>
      <x:c r="B365" s="8"/>
      <x:c r="C365" s="9"/>
      <x:c r="D365" s="10" t="str">
        <x:f>IF(C365="","",IFERROR(VLOOKUP(C365,'基金信息'!$A$6:$B$200,2,FALSE),"代码未找到"))</x:f>
      </x:c>
      <x:c r="E365" s="11"/>
      <x:c r="F365" s="12"/>
      <x:c r="G365" s="13"/>
      <x:c r="H365" s="13"/>
      <x:c r="I365" s="11"/>
      <x:c r="J365" s="11"/>
      <x:c r="K365" s="10" t="str">
        <x:f t="shared" si="5">IF(A365="","",IF(OR(E365="买入",E365="定投",E365="转换转入"),-(F365+I365),IF(OR(E365="卖出",E365="转换转出"),IF(J365&lt;&gt;"",J365,F365-I365),IF(E365="现金分红",J365,0))))</x:f>
      </x:c>
      <x:c r="L365" s="11"/>
      <x:c r="M365" s="14"/>
    </x:row>
    <x:row r="366" ht="21" customHeight="1">
      <x:c r="A366" s="7"/>
      <x:c r="B366" s="8"/>
      <x:c r="C366" s="9"/>
      <x:c r="D366" s="10" t="str">
        <x:f>IF(C366="","",IFERROR(VLOOKUP(C366,'基金信息'!$A$6:$B$200,2,FALSE),"代码未找到"))</x:f>
      </x:c>
      <x:c r="E366" s="11"/>
      <x:c r="F366" s="12"/>
      <x:c r="G366" s="13"/>
      <x:c r="H366" s="13"/>
      <x:c r="I366" s="11"/>
      <x:c r="J366" s="11"/>
      <x:c r="K366" s="10" t="str">
        <x:f t="shared" si="5">IF(A366="","",IF(OR(E366="买入",E366="定投",E366="转换转入"),-(F366+I366),IF(OR(E366="卖出",E366="转换转出"),IF(J366&lt;&gt;"",J366,F366-I366),IF(E366="现金分红",J366,0))))</x:f>
      </x:c>
      <x:c r="L366" s="11"/>
      <x:c r="M366" s="14"/>
    </x:row>
    <x:row r="367" ht="21" customHeight="1">
      <x:c r="A367" s="7"/>
      <x:c r="B367" s="8"/>
      <x:c r="C367" s="9"/>
      <x:c r="D367" s="10" t="str">
        <x:f>IF(C367="","",IFERROR(VLOOKUP(C367,'基金信息'!$A$6:$B$200,2,FALSE),"代码未找到"))</x:f>
      </x:c>
      <x:c r="E367" s="11"/>
      <x:c r="F367" s="12"/>
      <x:c r="G367" s="13"/>
      <x:c r="H367" s="13"/>
      <x:c r="I367" s="11"/>
      <x:c r="J367" s="11"/>
      <x:c r="K367" s="10" t="str">
        <x:f t="shared" si="5">IF(A367="","",IF(OR(E367="买入",E367="定投",E367="转换转入"),-(F367+I367),IF(OR(E367="卖出",E367="转换转出"),IF(J367&lt;&gt;"",J367,F367-I367),IF(E367="现金分红",J367,0))))</x:f>
      </x:c>
      <x:c r="L367" s="11"/>
      <x:c r="M367" s="14"/>
    </x:row>
    <x:row r="368" ht="21" customHeight="1">
      <x:c r="A368" s="7"/>
      <x:c r="B368" s="8"/>
      <x:c r="C368" s="9"/>
      <x:c r="D368" s="10" t="str">
        <x:f>IF(C368="","",IFERROR(VLOOKUP(C368,'基金信息'!$A$6:$B$200,2,FALSE),"代码未找到"))</x:f>
      </x:c>
      <x:c r="E368" s="11"/>
      <x:c r="F368" s="12"/>
      <x:c r="G368" s="13"/>
      <x:c r="H368" s="13"/>
      <x:c r="I368" s="11"/>
      <x:c r="J368" s="11"/>
      <x:c r="K368" s="10" t="str">
        <x:f t="shared" si="5">IF(A368="","",IF(OR(E368="买入",E368="定投",E368="转换转入"),-(F368+I368),IF(OR(E368="卖出",E368="转换转出"),IF(J368&lt;&gt;"",J368,F368-I368),IF(E368="现金分红",J368,0))))</x:f>
      </x:c>
      <x:c r="L368" s="11"/>
      <x:c r="M368" s="14"/>
    </x:row>
    <x:row r="369" ht="21" customHeight="1">
      <x:c r="A369" s="7"/>
      <x:c r="B369" s="8"/>
      <x:c r="C369" s="9"/>
      <x:c r="D369" s="10" t="str">
        <x:f>IF(C369="","",IFERROR(VLOOKUP(C369,'基金信息'!$A$6:$B$200,2,FALSE),"代码未找到"))</x:f>
      </x:c>
      <x:c r="E369" s="11"/>
      <x:c r="F369" s="12"/>
      <x:c r="G369" s="13"/>
      <x:c r="H369" s="13"/>
      <x:c r="I369" s="11"/>
      <x:c r="J369" s="11"/>
      <x:c r="K369" s="10" t="str">
        <x:f t="shared" si="5">IF(A369="","",IF(OR(E369="买入",E369="定投",E369="转换转入"),-(F369+I369),IF(OR(E369="卖出",E369="转换转出"),IF(J369&lt;&gt;"",J369,F369-I369),IF(E369="现金分红",J369,0))))</x:f>
      </x:c>
      <x:c r="L369" s="11"/>
      <x:c r="M369" s="14"/>
    </x:row>
    <x:row r="370" ht="21" customHeight="1">
      <x:c r="A370" s="7"/>
      <x:c r="B370" s="8"/>
      <x:c r="C370" s="9"/>
      <x:c r="D370" s="10" t="str">
        <x:f>IF(C370="","",IFERROR(VLOOKUP(C370,'基金信息'!$A$6:$B$200,2,FALSE),"代码未找到"))</x:f>
      </x:c>
      <x:c r="E370" s="11"/>
      <x:c r="F370" s="12"/>
      <x:c r="G370" s="13"/>
      <x:c r="H370" s="13"/>
      <x:c r="I370" s="11"/>
      <x:c r="J370" s="11"/>
      <x:c r="K370" s="10" t="str">
        <x:f t="shared" si="5">IF(A370="","",IF(OR(E370="买入",E370="定投",E370="转换转入"),-(F370+I370),IF(OR(E370="卖出",E370="转换转出"),IF(J370&lt;&gt;"",J370,F370-I370),IF(E370="现金分红",J370,0))))</x:f>
      </x:c>
      <x:c r="L370" s="11"/>
      <x:c r="M370" s="14"/>
    </x:row>
    <x:row r="371" ht="21" customHeight="1">
      <x:c r="A371" s="7"/>
      <x:c r="B371" s="8"/>
      <x:c r="C371" s="9"/>
      <x:c r="D371" s="10" t="str">
        <x:f>IF(C371="","",IFERROR(VLOOKUP(C371,'基金信息'!$A$6:$B$200,2,FALSE),"代码未找到"))</x:f>
      </x:c>
      <x:c r="E371" s="11"/>
      <x:c r="F371" s="12"/>
      <x:c r="G371" s="13"/>
      <x:c r="H371" s="13"/>
      <x:c r="I371" s="11"/>
      <x:c r="J371" s="11"/>
      <x:c r="K371" s="10" t="str">
        <x:f t="shared" si="5">IF(A371="","",IF(OR(E371="买入",E371="定投",E371="转换转入"),-(F371+I371),IF(OR(E371="卖出",E371="转换转出"),IF(J371&lt;&gt;"",J371,F371-I371),IF(E371="现金分红",J371,0))))</x:f>
      </x:c>
      <x:c r="L371" s="11"/>
      <x:c r="M371" s="14"/>
    </x:row>
    <x:row r="372" ht="21" customHeight="1">
      <x:c r="A372" s="7"/>
      <x:c r="B372" s="8"/>
      <x:c r="C372" s="9"/>
      <x:c r="D372" s="10" t="str">
        <x:f>IF(C372="","",IFERROR(VLOOKUP(C372,'基金信息'!$A$6:$B$200,2,FALSE),"代码未找到"))</x:f>
      </x:c>
      <x:c r="E372" s="11"/>
      <x:c r="F372" s="12"/>
      <x:c r="G372" s="13"/>
      <x:c r="H372" s="13"/>
      <x:c r="I372" s="11"/>
      <x:c r="J372" s="11"/>
      <x:c r="K372" s="10" t="str">
        <x:f t="shared" si="5">IF(A372="","",IF(OR(E372="买入",E372="定投",E372="转换转入"),-(F372+I372),IF(OR(E372="卖出",E372="转换转出"),IF(J372&lt;&gt;"",J372,F372-I372),IF(E372="现金分红",J372,0))))</x:f>
      </x:c>
      <x:c r="L372" s="11"/>
      <x:c r="M372" s="14"/>
    </x:row>
    <x:row r="373" ht="21" customHeight="1">
      <x:c r="A373" s="7"/>
      <x:c r="B373" s="8"/>
      <x:c r="C373" s="9"/>
      <x:c r="D373" s="10" t="str">
        <x:f>IF(C373="","",IFERROR(VLOOKUP(C373,'基金信息'!$A$6:$B$200,2,FALSE),"代码未找到"))</x:f>
      </x:c>
      <x:c r="E373" s="11"/>
      <x:c r="F373" s="12"/>
      <x:c r="G373" s="13"/>
      <x:c r="H373" s="13"/>
      <x:c r="I373" s="11"/>
      <x:c r="J373" s="11"/>
      <x:c r="K373" s="10" t="str">
        <x:f t="shared" si="5">IF(A373="","",IF(OR(E373="买入",E373="定投",E373="转换转入"),-(F373+I373),IF(OR(E373="卖出",E373="转换转出"),IF(J373&lt;&gt;"",J373,F373-I373),IF(E373="现金分红",J373,0))))</x:f>
      </x:c>
      <x:c r="L373" s="11"/>
      <x:c r="M373" s="14"/>
    </x:row>
    <x:row r="374" ht="21" customHeight="1">
      <x:c r="A374" s="7"/>
      <x:c r="B374" s="8"/>
      <x:c r="C374" s="9"/>
      <x:c r="D374" s="10" t="str">
        <x:f>IF(C374="","",IFERROR(VLOOKUP(C374,'基金信息'!$A$6:$B$200,2,FALSE),"代码未找到"))</x:f>
      </x:c>
      <x:c r="E374" s="11"/>
      <x:c r="F374" s="12"/>
      <x:c r="G374" s="13"/>
      <x:c r="H374" s="13"/>
      <x:c r="I374" s="11"/>
      <x:c r="J374" s="11"/>
      <x:c r="K374" s="10" t="str">
        <x:f t="shared" si="5">IF(A374="","",IF(OR(E374="买入",E374="定投",E374="转换转入"),-(F374+I374),IF(OR(E374="卖出",E374="转换转出"),IF(J374&lt;&gt;"",J374,F374-I374),IF(E374="现金分红",J374,0))))</x:f>
      </x:c>
      <x:c r="L374" s="11"/>
      <x:c r="M374" s="14"/>
    </x:row>
    <x:row r="375" ht="21" customHeight="1">
      <x:c r="A375" s="7"/>
      <x:c r="B375" s="8"/>
      <x:c r="C375" s="9"/>
      <x:c r="D375" s="10" t="str">
        <x:f>IF(C375="","",IFERROR(VLOOKUP(C375,'基金信息'!$A$6:$B$200,2,FALSE),"代码未找到"))</x:f>
      </x:c>
      <x:c r="E375" s="11"/>
      <x:c r="F375" s="12"/>
      <x:c r="G375" s="13"/>
      <x:c r="H375" s="13"/>
      <x:c r="I375" s="11"/>
      <x:c r="J375" s="11"/>
      <x:c r="K375" s="10" t="str">
        <x:f t="shared" si="5">IF(A375="","",IF(OR(E375="买入",E375="定投",E375="转换转入"),-(F375+I375),IF(OR(E375="卖出",E375="转换转出"),IF(J375&lt;&gt;"",J375,F375-I375),IF(E375="现金分红",J375,0))))</x:f>
      </x:c>
      <x:c r="L375" s="11"/>
      <x:c r="M375" s="14"/>
    </x:row>
    <x:row r="376" ht="21" customHeight="1">
      <x:c r="A376" s="7"/>
      <x:c r="B376" s="8"/>
      <x:c r="C376" s="9"/>
      <x:c r="D376" s="10" t="str">
        <x:f>IF(C376="","",IFERROR(VLOOKUP(C376,'基金信息'!$A$6:$B$200,2,FALSE),"代码未找到"))</x:f>
      </x:c>
      <x:c r="E376" s="11"/>
      <x:c r="F376" s="12"/>
      <x:c r="G376" s="13"/>
      <x:c r="H376" s="13"/>
      <x:c r="I376" s="11"/>
      <x:c r="J376" s="11"/>
      <x:c r="K376" s="10" t="str">
        <x:f t="shared" si="5">IF(A376="","",IF(OR(E376="买入",E376="定投",E376="转换转入"),-(F376+I376),IF(OR(E376="卖出",E376="转换转出"),IF(J376&lt;&gt;"",J376,F376-I376),IF(E376="现金分红",J376,0))))</x:f>
      </x:c>
      <x:c r="L376" s="11"/>
      <x:c r="M376" s="14"/>
    </x:row>
    <x:row r="377" ht="21" customHeight="1">
      <x:c r="A377" s="7"/>
      <x:c r="B377" s="8"/>
      <x:c r="C377" s="9"/>
      <x:c r="D377" s="10" t="str">
        <x:f>IF(C377="","",IFERROR(VLOOKUP(C377,'基金信息'!$A$6:$B$200,2,FALSE),"代码未找到"))</x:f>
      </x:c>
      <x:c r="E377" s="11"/>
      <x:c r="F377" s="12"/>
      <x:c r="G377" s="13"/>
      <x:c r="H377" s="13"/>
      <x:c r="I377" s="11"/>
      <x:c r="J377" s="11"/>
      <x:c r="K377" s="10" t="str">
        <x:f t="shared" si="5">IF(A377="","",IF(OR(E377="买入",E377="定投",E377="转换转入"),-(F377+I377),IF(OR(E377="卖出",E377="转换转出"),IF(J377&lt;&gt;"",J377,F377-I377),IF(E377="现金分红",J377,0))))</x:f>
      </x:c>
      <x:c r="L377" s="11"/>
      <x:c r="M377" s="14"/>
    </x:row>
    <x:row r="378" ht="21" customHeight="1">
      <x:c r="A378" s="7"/>
      <x:c r="B378" s="8"/>
      <x:c r="C378" s="9"/>
      <x:c r="D378" s="10" t="str">
        <x:f>IF(C378="","",IFERROR(VLOOKUP(C378,'基金信息'!$A$6:$B$200,2,FALSE),"代码未找到"))</x:f>
      </x:c>
      <x:c r="E378" s="11"/>
      <x:c r="F378" s="12"/>
      <x:c r="G378" s="13"/>
      <x:c r="H378" s="13"/>
      <x:c r="I378" s="11"/>
      <x:c r="J378" s="11"/>
      <x:c r="K378" s="10" t="str">
        <x:f t="shared" si="5">IF(A378="","",IF(OR(E378="买入",E378="定投",E378="转换转入"),-(F378+I378),IF(OR(E378="卖出",E378="转换转出"),IF(J378&lt;&gt;"",J378,F378-I378),IF(E378="现金分红",J378,0))))</x:f>
      </x:c>
      <x:c r="L378" s="11"/>
      <x:c r="M378" s="14"/>
    </x:row>
    <x:row r="379" ht="21" customHeight="1">
      <x:c r="A379" s="7"/>
      <x:c r="B379" s="8"/>
      <x:c r="C379" s="9"/>
      <x:c r="D379" s="10" t="str">
        <x:f>IF(C379="","",IFERROR(VLOOKUP(C379,'基金信息'!$A$6:$B$200,2,FALSE),"代码未找到"))</x:f>
      </x:c>
      <x:c r="E379" s="11"/>
      <x:c r="F379" s="12"/>
      <x:c r="G379" s="13"/>
      <x:c r="H379" s="13"/>
      <x:c r="I379" s="11"/>
      <x:c r="J379" s="11"/>
      <x:c r="K379" s="10" t="str">
        <x:f t="shared" si="5">IF(A379="","",IF(OR(E379="买入",E379="定投",E379="转换转入"),-(F379+I379),IF(OR(E379="卖出",E379="转换转出"),IF(J379&lt;&gt;"",J379,F379-I379),IF(E379="现金分红",J379,0))))</x:f>
      </x:c>
      <x:c r="L379" s="11"/>
      <x:c r="M379" s="14"/>
    </x:row>
    <x:row r="380" ht="21" customHeight="1">
      <x:c r="A380" s="7"/>
      <x:c r="B380" s="8"/>
      <x:c r="C380" s="9"/>
      <x:c r="D380" s="10" t="str">
        <x:f>IF(C380="","",IFERROR(VLOOKUP(C380,'基金信息'!$A$6:$B$200,2,FALSE),"代码未找到"))</x:f>
      </x:c>
      <x:c r="E380" s="11"/>
      <x:c r="F380" s="12"/>
      <x:c r="G380" s="13"/>
      <x:c r="H380" s="13"/>
      <x:c r="I380" s="11"/>
      <x:c r="J380" s="11"/>
      <x:c r="K380" s="10" t="str">
        <x:f t="shared" si="5">IF(A380="","",IF(OR(E380="买入",E380="定投",E380="转换转入"),-(F380+I380),IF(OR(E380="卖出",E380="转换转出"),IF(J380&lt;&gt;"",J380,F380-I380),IF(E380="现金分红",J380,0))))</x:f>
      </x:c>
      <x:c r="L380" s="11"/>
      <x:c r="M380" s="14"/>
    </x:row>
    <x:row r="381" ht="21" customHeight="1">
      <x:c r="A381" s="7"/>
      <x:c r="B381" s="8"/>
      <x:c r="C381" s="9"/>
      <x:c r="D381" s="10" t="str">
        <x:f>IF(C381="","",IFERROR(VLOOKUP(C381,'基金信息'!$A$6:$B$200,2,FALSE),"代码未找到"))</x:f>
      </x:c>
      <x:c r="E381" s="11"/>
      <x:c r="F381" s="12"/>
      <x:c r="G381" s="13"/>
      <x:c r="H381" s="13"/>
      <x:c r="I381" s="11"/>
      <x:c r="J381" s="11"/>
      <x:c r="K381" s="10" t="str">
        <x:f t="shared" si="5">IF(A381="","",IF(OR(E381="买入",E381="定投",E381="转换转入"),-(F381+I381),IF(OR(E381="卖出",E381="转换转出"),IF(J381&lt;&gt;"",J381,F381-I381),IF(E381="现金分红",J381,0))))</x:f>
      </x:c>
      <x:c r="L381" s="11"/>
      <x:c r="M381" s="14"/>
    </x:row>
    <x:row r="382" ht="21" customHeight="1">
      <x:c r="A382" s="7"/>
      <x:c r="B382" s="8"/>
      <x:c r="C382" s="9"/>
      <x:c r="D382" s="10" t="str">
        <x:f>IF(C382="","",IFERROR(VLOOKUP(C382,'基金信息'!$A$6:$B$200,2,FALSE),"代码未找到"))</x:f>
      </x:c>
      <x:c r="E382" s="11"/>
      <x:c r="F382" s="12"/>
      <x:c r="G382" s="13"/>
      <x:c r="H382" s="13"/>
      <x:c r="I382" s="11"/>
      <x:c r="J382" s="11"/>
      <x:c r="K382" s="10" t="str">
        <x:f t="shared" si="5">IF(A382="","",IF(OR(E382="买入",E382="定投",E382="转换转入"),-(F382+I382),IF(OR(E382="卖出",E382="转换转出"),IF(J382&lt;&gt;"",J382,F382-I382),IF(E382="现金分红",J382,0))))</x:f>
      </x:c>
      <x:c r="L382" s="11"/>
      <x:c r="M382" s="14"/>
    </x:row>
    <x:row r="383" ht="21" customHeight="1">
      <x:c r="A383" s="7"/>
      <x:c r="B383" s="8"/>
      <x:c r="C383" s="9"/>
      <x:c r="D383" s="10" t="str">
        <x:f>IF(C383="","",IFERROR(VLOOKUP(C383,'基金信息'!$A$6:$B$200,2,FALSE),"代码未找到"))</x:f>
      </x:c>
      <x:c r="E383" s="11"/>
      <x:c r="F383" s="12"/>
      <x:c r="G383" s="13"/>
      <x:c r="H383" s="13"/>
      <x:c r="I383" s="11"/>
      <x:c r="J383" s="11"/>
      <x:c r="K383" s="10" t="str">
        <x:f t="shared" si="5">IF(A383="","",IF(OR(E383="买入",E383="定投",E383="转换转入"),-(F383+I383),IF(OR(E383="卖出",E383="转换转出"),IF(J383&lt;&gt;"",J383,F383-I383),IF(E383="现金分红",J383,0))))</x:f>
      </x:c>
      <x:c r="L383" s="11"/>
      <x:c r="M383" s="14"/>
    </x:row>
    <x:row r="384" ht="21" customHeight="1">
      <x:c r="A384" s="7"/>
      <x:c r="B384" s="8"/>
      <x:c r="C384" s="9"/>
      <x:c r="D384" s="10" t="str">
        <x:f>IF(C384="","",IFERROR(VLOOKUP(C384,'基金信息'!$A$6:$B$200,2,FALSE),"代码未找到"))</x:f>
      </x:c>
      <x:c r="E384" s="11"/>
      <x:c r="F384" s="12"/>
      <x:c r="G384" s="13"/>
      <x:c r="H384" s="13"/>
      <x:c r="I384" s="11"/>
      <x:c r="J384" s="11"/>
      <x:c r="K384" s="10" t="str">
        <x:f t="shared" si="5">IF(A384="","",IF(OR(E384="买入",E384="定投",E384="转换转入"),-(F384+I384),IF(OR(E384="卖出",E384="转换转出"),IF(J384&lt;&gt;"",J384,F384-I384),IF(E384="现金分红",J384,0))))</x:f>
      </x:c>
      <x:c r="L384" s="11"/>
      <x:c r="M384" s="14"/>
    </x:row>
    <x:row r="385" ht="21" customHeight="1">
      <x:c r="A385" s="7"/>
      <x:c r="B385" s="8"/>
      <x:c r="C385" s="9"/>
      <x:c r="D385" s="10" t="str">
        <x:f>IF(C385="","",IFERROR(VLOOKUP(C385,'基金信息'!$A$6:$B$200,2,FALSE),"代码未找到"))</x:f>
      </x:c>
      <x:c r="E385" s="11"/>
      <x:c r="F385" s="12"/>
      <x:c r="G385" s="13"/>
      <x:c r="H385" s="13"/>
      <x:c r="I385" s="11"/>
      <x:c r="J385" s="11"/>
      <x:c r="K385" s="10" t="str">
        <x:f t="shared" si="5">IF(A385="","",IF(OR(E385="买入",E385="定投",E385="转换转入"),-(F385+I385),IF(OR(E385="卖出",E385="转换转出"),IF(J385&lt;&gt;"",J385,F385-I385),IF(E385="现金分红",J385,0))))</x:f>
      </x:c>
      <x:c r="L385" s="11"/>
      <x:c r="M385" s="14"/>
    </x:row>
    <x:row r="386" ht="21" customHeight="1">
      <x:c r="A386" s="7"/>
      <x:c r="B386" s="8"/>
      <x:c r="C386" s="9"/>
      <x:c r="D386" s="10" t="str">
        <x:f>IF(C386="","",IFERROR(VLOOKUP(C386,'基金信息'!$A$6:$B$200,2,FALSE),"代码未找到"))</x:f>
      </x:c>
      <x:c r="E386" s="11"/>
      <x:c r="F386" s="12"/>
      <x:c r="G386" s="13"/>
      <x:c r="H386" s="13"/>
      <x:c r="I386" s="11"/>
      <x:c r="J386" s="11"/>
      <x:c r="K386" s="10" t="str">
        <x:f t="shared" si="5">IF(A386="","",IF(OR(E386="买入",E386="定投",E386="转换转入"),-(F386+I386),IF(OR(E386="卖出",E386="转换转出"),IF(J386&lt;&gt;"",J386,F386-I386),IF(E386="现金分红",J386,0))))</x:f>
      </x:c>
      <x:c r="L386" s="11"/>
      <x:c r="M386" s="14"/>
    </x:row>
    <x:row r="387" ht="21" customHeight="1">
      <x:c r="A387" s="7"/>
      <x:c r="B387" s="8"/>
      <x:c r="C387" s="9"/>
      <x:c r="D387" s="10" t="str">
        <x:f>IF(C387="","",IFERROR(VLOOKUP(C387,'基金信息'!$A$6:$B$200,2,FALSE),"代码未找到"))</x:f>
      </x:c>
      <x:c r="E387" s="11"/>
      <x:c r="F387" s="12"/>
      <x:c r="G387" s="13"/>
      <x:c r="H387" s="13"/>
      <x:c r="I387" s="11"/>
      <x:c r="J387" s="11"/>
      <x:c r="K387" s="10" t="str">
        <x:f t="shared" si="5">IF(A387="","",IF(OR(E387="买入",E387="定投",E387="转换转入"),-(F387+I387),IF(OR(E387="卖出",E387="转换转出"),IF(J387&lt;&gt;"",J387,F387-I387),IF(E387="现金分红",J387,0))))</x:f>
      </x:c>
      <x:c r="L387" s="11"/>
      <x:c r="M387" s="14"/>
    </x:row>
    <x:row r="388" ht="21" customHeight="1">
      <x:c r="A388" s="7"/>
      <x:c r="B388" s="8"/>
      <x:c r="C388" s="9"/>
      <x:c r="D388" s="10" t="str">
        <x:f>IF(C388="","",IFERROR(VLOOKUP(C388,'基金信息'!$A$6:$B$200,2,FALSE),"代码未找到"))</x:f>
      </x:c>
      <x:c r="E388" s="11"/>
      <x:c r="F388" s="12"/>
      <x:c r="G388" s="13"/>
      <x:c r="H388" s="13"/>
      <x:c r="I388" s="11"/>
      <x:c r="J388" s="11"/>
      <x:c r="K388" s="10" t="str">
        <x:f t="shared" si="5">IF(A388="","",IF(OR(E388="买入",E388="定投",E388="转换转入"),-(F388+I388),IF(OR(E388="卖出",E388="转换转出"),IF(J388&lt;&gt;"",J388,F388-I388),IF(E388="现金分红",J388,0))))</x:f>
      </x:c>
      <x:c r="L388" s="11"/>
      <x:c r="M388" s="14"/>
    </x:row>
    <x:row r="389" ht="21" customHeight="1">
      <x:c r="A389" s="7"/>
      <x:c r="B389" s="8"/>
      <x:c r="C389" s="9"/>
      <x:c r="D389" s="10" t="str">
        <x:f>IF(C389="","",IFERROR(VLOOKUP(C389,'基金信息'!$A$6:$B$200,2,FALSE),"代码未找到"))</x:f>
      </x:c>
      <x:c r="E389" s="11"/>
      <x:c r="F389" s="12"/>
      <x:c r="G389" s="13"/>
      <x:c r="H389" s="13"/>
      <x:c r="I389" s="11"/>
      <x:c r="J389" s="11"/>
      <x:c r="K389" s="10" t="str">
        <x:f t="shared" ref="K389:K452" si="6">IF(A389="","",IF(OR(E389="买入",E389="定投",E389="转换转入"),-(F389+I389),IF(OR(E389="卖出",E389="转换转出"),IF(J389&lt;&gt;"",J389,F389-I389),IF(E389="现金分红",J389,0))))</x:f>
      </x:c>
      <x:c r="L389" s="11"/>
      <x:c r="M389" s="14"/>
    </x:row>
    <x:row r="390" ht="21" customHeight="1">
      <x:c r="A390" s="7"/>
      <x:c r="B390" s="8"/>
      <x:c r="C390" s="9"/>
      <x:c r="D390" s="10" t="str">
        <x:f>IF(C390="","",IFERROR(VLOOKUP(C390,'基金信息'!$A$6:$B$200,2,FALSE),"代码未找到"))</x:f>
      </x:c>
      <x:c r="E390" s="11"/>
      <x:c r="F390" s="12"/>
      <x:c r="G390" s="13"/>
      <x:c r="H390" s="13"/>
      <x:c r="I390" s="11"/>
      <x:c r="J390" s="11"/>
      <x:c r="K390" s="10" t="str">
        <x:f t="shared" si="6">IF(A390="","",IF(OR(E390="买入",E390="定投",E390="转换转入"),-(F390+I390),IF(OR(E390="卖出",E390="转换转出"),IF(J390&lt;&gt;"",J390,F390-I390),IF(E390="现金分红",J390,0))))</x:f>
      </x:c>
      <x:c r="L390" s="11"/>
      <x:c r="M390" s="14"/>
    </x:row>
    <x:row r="391" ht="21" customHeight="1">
      <x:c r="A391" s="7"/>
      <x:c r="B391" s="8"/>
      <x:c r="C391" s="9"/>
      <x:c r="D391" s="10" t="str">
        <x:f>IF(C391="","",IFERROR(VLOOKUP(C391,'基金信息'!$A$6:$B$200,2,FALSE),"代码未找到"))</x:f>
      </x:c>
      <x:c r="E391" s="11"/>
      <x:c r="F391" s="12"/>
      <x:c r="G391" s="13"/>
      <x:c r="H391" s="13"/>
      <x:c r="I391" s="11"/>
      <x:c r="J391" s="11"/>
      <x:c r="K391" s="10" t="str">
        <x:f t="shared" si="6">IF(A391="","",IF(OR(E391="买入",E391="定投",E391="转换转入"),-(F391+I391),IF(OR(E391="卖出",E391="转换转出"),IF(J391&lt;&gt;"",J391,F391-I391),IF(E391="现金分红",J391,0))))</x:f>
      </x:c>
      <x:c r="L391" s="11"/>
      <x:c r="M391" s="14"/>
    </x:row>
    <x:row r="392" ht="21" customHeight="1">
      <x:c r="A392" s="7"/>
      <x:c r="B392" s="8"/>
      <x:c r="C392" s="9"/>
      <x:c r="D392" s="10" t="str">
        <x:f>IF(C392="","",IFERROR(VLOOKUP(C392,'基金信息'!$A$6:$B$200,2,FALSE),"代码未找到"))</x:f>
      </x:c>
      <x:c r="E392" s="11"/>
      <x:c r="F392" s="12"/>
      <x:c r="G392" s="13"/>
      <x:c r="H392" s="13"/>
      <x:c r="I392" s="11"/>
      <x:c r="J392" s="11"/>
      <x:c r="K392" s="10" t="str">
        <x:f t="shared" si="6">IF(A392="","",IF(OR(E392="买入",E392="定投",E392="转换转入"),-(F392+I392),IF(OR(E392="卖出",E392="转换转出"),IF(J392&lt;&gt;"",J392,F392-I392),IF(E392="现金分红",J392,0))))</x:f>
      </x:c>
      <x:c r="L392" s="11"/>
      <x:c r="M392" s="14"/>
    </x:row>
    <x:row r="393" ht="21" customHeight="1">
      <x:c r="A393" s="7"/>
      <x:c r="B393" s="8"/>
      <x:c r="C393" s="9"/>
      <x:c r="D393" s="10" t="str">
        <x:f>IF(C393="","",IFERROR(VLOOKUP(C393,'基金信息'!$A$6:$B$200,2,FALSE),"代码未找到"))</x:f>
      </x:c>
      <x:c r="E393" s="11"/>
      <x:c r="F393" s="12"/>
      <x:c r="G393" s="13"/>
      <x:c r="H393" s="13"/>
      <x:c r="I393" s="11"/>
      <x:c r="J393" s="11"/>
      <x:c r="K393" s="10" t="str">
        <x:f t="shared" si="6">IF(A393="","",IF(OR(E393="买入",E393="定投",E393="转换转入"),-(F393+I393),IF(OR(E393="卖出",E393="转换转出"),IF(J393&lt;&gt;"",J393,F393-I393),IF(E393="现金分红",J393,0))))</x:f>
      </x:c>
      <x:c r="L393" s="11"/>
      <x:c r="M393" s="14"/>
    </x:row>
    <x:row r="394" ht="21" customHeight="1">
      <x:c r="A394" s="7"/>
      <x:c r="B394" s="8"/>
      <x:c r="C394" s="9"/>
      <x:c r="D394" s="10" t="str">
        <x:f>IF(C394="","",IFERROR(VLOOKUP(C394,'基金信息'!$A$6:$B$200,2,FALSE),"代码未找到"))</x:f>
      </x:c>
      <x:c r="E394" s="11"/>
      <x:c r="F394" s="12"/>
      <x:c r="G394" s="13"/>
      <x:c r="H394" s="13"/>
      <x:c r="I394" s="11"/>
      <x:c r="J394" s="11"/>
      <x:c r="K394" s="10" t="str">
        <x:f t="shared" si="6">IF(A394="","",IF(OR(E394="买入",E394="定投",E394="转换转入"),-(F394+I394),IF(OR(E394="卖出",E394="转换转出"),IF(J394&lt;&gt;"",J394,F394-I394),IF(E394="现金分红",J394,0))))</x:f>
      </x:c>
      <x:c r="L394" s="11"/>
      <x:c r="M394" s="14"/>
    </x:row>
    <x:row r="395" ht="21" customHeight="1">
      <x:c r="A395" s="7"/>
      <x:c r="B395" s="8"/>
      <x:c r="C395" s="9"/>
      <x:c r="D395" s="10" t="str">
        <x:f>IF(C395="","",IFERROR(VLOOKUP(C395,'基金信息'!$A$6:$B$200,2,FALSE),"代码未找到"))</x:f>
      </x:c>
      <x:c r="E395" s="11"/>
      <x:c r="F395" s="12"/>
      <x:c r="G395" s="13"/>
      <x:c r="H395" s="13"/>
      <x:c r="I395" s="11"/>
      <x:c r="J395" s="11"/>
      <x:c r="K395" s="10" t="str">
        <x:f t="shared" si="6">IF(A395="","",IF(OR(E395="买入",E395="定投",E395="转换转入"),-(F395+I395),IF(OR(E395="卖出",E395="转换转出"),IF(J395&lt;&gt;"",J395,F395-I395),IF(E395="现金分红",J395,0))))</x:f>
      </x:c>
      <x:c r="L395" s="11"/>
      <x:c r="M395" s="14"/>
    </x:row>
    <x:row r="396" ht="21" customHeight="1">
      <x:c r="A396" s="7"/>
      <x:c r="B396" s="8"/>
      <x:c r="C396" s="9"/>
      <x:c r="D396" s="10" t="str">
        <x:f>IF(C396="","",IFERROR(VLOOKUP(C396,'基金信息'!$A$6:$B$200,2,FALSE),"代码未找到"))</x:f>
      </x:c>
      <x:c r="E396" s="11"/>
      <x:c r="F396" s="12"/>
      <x:c r="G396" s="13"/>
      <x:c r="H396" s="13"/>
      <x:c r="I396" s="11"/>
      <x:c r="J396" s="11"/>
      <x:c r="K396" s="10" t="str">
        <x:f t="shared" si="6">IF(A396="","",IF(OR(E396="买入",E396="定投",E396="转换转入"),-(F396+I396),IF(OR(E396="卖出",E396="转换转出"),IF(J396&lt;&gt;"",J396,F396-I396),IF(E396="现金分红",J396,0))))</x:f>
      </x:c>
      <x:c r="L396" s="11"/>
      <x:c r="M396" s="14"/>
    </x:row>
    <x:row r="397" ht="21" customHeight="1">
      <x:c r="A397" s="7"/>
      <x:c r="B397" s="8"/>
      <x:c r="C397" s="9"/>
      <x:c r="D397" s="10" t="str">
        <x:f>IF(C397="","",IFERROR(VLOOKUP(C397,'基金信息'!$A$6:$B$200,2,FALSE),"代码未找到"))</x:f>
      </x:c>
      <x:c r="E397" s="11"/>
      <x:c r="F397" s="12"/>
      <x:c r="G397" s="13"/>
      <x:c r="H397" s="13"/>
      <x:c r="I397" s="11"/>
      <x:c r="J397" s="11"/>
      <x:c r="K397" s="10" t="str">
        <x:f t="shared" si="6">IF(A397="","",IF(OR(E397="买入",E397="定投",E397="转换转入"),-(F397+I397),IF(OR(E397="卖出",E397="转换转出"),IF(J397&lt;&gt;"",J397,F397-I397),IF(E397="现金分红",J397,0))))</x:f>
      </x:c>
      <x:c r="L397" s="11"/>
      <x:c r="M397" s="14"/>
    </x:row>
    <x:row r="398" ht="21" customHeight="1">
      <x:c r="A398" s="7"/>
      <x:c r="B398" s="8"/>
      <x:c r="C398" s="9"/>
      <x:c r="D398" s="10" t="str">
        <x:f>IF(C398="","",IFERROR(VLOOKUP(C398,'基金信息'!$A$6:$B$200,2,FALSE),"代码未找到"))</x:f>
      </x:c>
      <x:c r="E398" s="11"/>
      <x:c r="F398" s="12"/>
      <x:c r="G398" s="13"/>
      <x:c r="H398" s="13"/>
      <x:c r="I398" s="11"/>
      <x:c r="J398" s="11"/>
      <x:c r="K398" s="10" t="str">
        <x:f t="shared" si="6">IF(A398="","",IF(OR(E398="买入",E398="定投",E398="转换转入"),-(F398+I398),IF(OR(E398="卖出",E398="转换转出"),IF(J398&lt;&gt;"",J398,F398-I398),IF(E398="现金分红",J398,0))))</x:f>
      </x:c>
      <x:c r="L398" s="11"/>
      <x:c r="M398" s="14"/>
    </x:row>
    <x:row r="399" ht="21" customHeight="1">
      <x:c r="A399" s="7"/>
      <x:c r="B399" s="8"/>
      <x:c r="C399" s="9"/>
      <x:c r="D399" s="10" t="str">
        <x:f>IF(C399="","",IFERROR(VLOOKUP(C399,'基金信息'!$A$6:$B$200,2,FALSE),"代码未找到"))</x:f>
      </x:c>
      <x:c r="E399" s="11"/>
      <x:c r="F399" s="12"/>
      <x:c r="G399" s="13"/>
      <x:c r="H399" s="13"/>
      <x:c r="I399" s="11"/>
      <x:c r="J399" s="11"/>
      <x:c r="K399" s="10" t="str">
        <x:f t="shared" si="6">IF(A399="","",IF(OR(E399="买入",E399="定投",E399="转换转入"),-(F399+I399),IF(OR(E399="卖出",E399="转换转出"),IF(J399&lt;&gt;"",J399,F399-I399),IF(E399="现金分红",J399,0))))</x:f>
      </x:c>
      <x:c r="L399" s="11"/>
      <x:c r="M399" s="14"/>
    </x:row>
    <x:row r="400" ht="21" customHeight="1">
      <x:c r="A400" s="7"/>
      <x:c r="B400" s="8"/>
      <x:c r="C400" s="9"/>
      <x:c r="D400" s="10" t="str">
        <x:f>IF(C400="","",IFERROR(VLOOKUP(C400,'基金信息'!$A$6:$B$200,2,FALSE),"代码未找到"))</x:f>
      </x:c>
      <x:c r="E400" s="11"/>
      <x:c r="F400" s="12"/>
      <x:c r="G400" s="13"/>
      <x:c r="H400" s="13"/>
      <x:c r="I400" s="11"/>
      <x:c r="J400" s="11"/>
      <x:c r="K400" s="10" t="str">
        <x:f t="shared" si="6">IF(A400="","",IF(OR(E400="买入",E400="定投",E400="转换转入"),-(F400+I400),IF(OR(E400="卖出",E400="转换转出"),IF(J400&lt;&gt;"",J400,F400-I400),IF(E400="现金分红",J400,0))))</x:f>
      </x:c>
      <x:c r="L400" s="11"/>
      <x:c r="M400" s="14"/>
    </x:row>
    <x:row r="401" ht="21" customHeight="1">
      <x:c r="A401" s="7"/>
      <x:c r="B401" s="8"/>
      <x:c r="C401" s="9"/>
      <x:c r="D401" s="10" t="str">
        <x:f>IF(C401="","",IFERROR(VLOOKUP(C401,'基金信息'!$A$6:$B$200,2,FALSE),"代码未找到"))</x:f>
      </x:c>
      <x:c r="E401" s="11"/>
      <x:c r="F401" s="12"/>
      <x:c r="G401" s="13"/>
      <x:c r="H401" s="13"/>
      <x:c r="I401" s="11"/>
      <x:c r="J401" s="11"/>
      <x:c r="K401" s="10" t="str">
        <x:f t="shared" si="6">IF(A401="","",IF(OR(E401="买入",E401="定投",E401="转换转入"),-(F401+I401),IF(OR(E401="卖出",E401="转换转出"),IF(J401&lt;&gt;"",J401,F401-I401),IF(E401="现金分红",J401,0))))</x:f>
      </x:c>
      <x:c r="L401" s="11"/>
      <x:c r="M401" s="14"/>
    </x:row>
    <x:row r="402" ht="21" customHeight="1">
      <x:c r="A402" s="7"/>
      <x:c r="B402" s="8"/>
      <x:c r="C402" s="9"/>
      <x:c r="D402" s="10" t="str">
        <x:f>IF(C402="","",IFERROR(VLOOKUP(C402,'基金信息'!$A$6:$B$200,2,FALSE),"代码未找到"))</x:f>
      </x:c>
      <x:c r="E402" s="11"/>
      <x:c r="F402" s="12"/>
      <x:c r="G402" s="13"/>
      <x:c r="H402" s="13"/>
      <x:c r="I402" s="11"/>
      <x:c r="J402" s="11"/>
      <x:c r="K402" s="10" t="str">
        <x:f t="shared" si="6">IF(A402="","",IF(OR(E402="买入",E402="定投",E402="转换转入"),-(F402+I402),IF(OR(E402="卖出",E402="转换转出"),IF(J402&lt;&gt;"",J402,F402-I402),IF(E402="现金分红",J402,0))))</x:f>
      </x:c>
      <x:c r="L402" s="11"/>
      <x:c r="M402" s="14"/>
    </x:row>
    <x:row r="403" ht="21" customHeight="1">
      <x:c r="A403" s="7"/>
      <x:c r="B403" s="8"/>
      <x:c r="C403" s="9"/>
      <x:c r="D403" s="10" t="str">
        <x:f>IF(C403="","",IFERROR(VLOOKUP(C403,'基金信息'!$A$6:$B$200,2,FALSE),"代码未找到"))</x:f>
      </x:c>
      <x:c r="E403" s="11"/>
      <x:c r="F403" s="12"/>
      <x:c r="G403" s="13"/>
      <x:c r="H403" s="13"/>
      <x:c r="I403" s="11"/>
      <x:c r="J403" s="11"/>
      <x:c r="K403" s="10" t="str">
        <x:f t="shared" si="6">IF(A403="","",IF(OR(E403="买入",E403="定投",E403="转换转入"),-(F403+I403),IF(OR(E403="卖出",E403="转换转出"),IF(J403&lt;&gt;"",J403,F403-I403),IF(E403="现金分红",J403,0))))</x:f>
      </x:c>
      <x:c r="L403" s="11"/>
      <x:c r="M403" s="14"/>
    </x:row>
    <x:row r="404" ht="21" customHeight="1">
      <x:c r="A404" s="7"/>
      <x:c r="B404" s="8"/>
      <x:c r="C404" s="9"/>
      <x:c r="D404" s="10" t="str">
        <x:f>IF(C404="","",IFERROR(VLOOKUP(C404,'基金信息'!$A$6:$B$200,2,FALSE),"代码未找到"))</x:f>
      </x:c>
      <x:c r="E404" s="11"/>
      <x:c r="F404" s="12"/>
      <x:c r="G404" s="13"/>
      <x:c r="H404" s="13"/>
      <x:c r="I404" s="11"/>
      <x:c r="J404" s="11"/>
      <x:c r="K404" s="10" t="str">
        <x:f t="shared" si="6">IF(A404="","",IF(OR(E404="买入",E404="定投",E404="转换转入"),-(F404+I404),IF(OR(E404="卖出",E404="转换转出"),IF(J404&lt;&gt;"",J404,F404-I404),IF(E404="现金分红",J404,0))))</x:f>
      </x:c>
      <x:c r="L404" s="11"/>
      <x:c r="M404" s="14"/>
    </x:row>
    <x:row r="405" ht="21" customHeight="1">
      <x:c r="A405" s="7"/>
      <x:c r="B405" s="8"/>
      <x:c r="C405" s="9"/>
      <x:c r="D405" s="10" t="str">
        <x:f>IF(C405="","",IFERROR(VLOOKUP(C405,'基金信息'!$A$6:$B$200,2,FALSE),"代码未找到"))</x:f>
      </x:c>
      <x:c r="E405" s="11"/>
      <x:c r="F405" s="12"/>
      <x:c r="G405" s="13"/>
      <x:c r="H405" s="13"/>
      <x:c r="I405" s="11"/>
      <x:c r="J405" s="11"/>
      <x:c r="K405" s="10" t="str">
        <x:f t="shared" si="6">IF(A405="","",IF(OR(E405="买入",E405="定投",E405="转换转入"),-(F405+I405),IF(OR(E405="卖出",E405="转换转出"),IF(J405&lt;&gt;"",J405,F405-I405),IF(E405="现金分红",J405,0))))</x:f>
      </x:c>
      <x:c r="L405" s="11"/>
      <x:c r="M405" s="14"/>
    </x:row>
    <x:row r="406" ht="21" customHeight="1">
      <x:c r="A406" s="7"/>
      <x:c r="B406" s="8"/>
      <x:c r="C406" s="9"/>
      <x:c r="D406" s="10" t="str">
        <x:f>IF(C406="","",IFERROR(VLOOKUP(C406,'基金信息'!$A$6:$B$200,2,FALSE),"代码未找到"))</x:f>
      </x:c>
      <x:c r="E406" s="11"/>
      <x:c r="F406" s="12"/>
      <x:c r="G406" s="13"/>
      <x:c r="H406" s="13"/>
      <x:c r="I406" s="11"/>
      <x:c r="J406" s="11"/>
      <x:c r="K406" s="10" t="str">
        <x:f t="shared" si="6">IF(A406="","",IF(OR(E406="买入",E406="定投",E406="转换转入"),-(F406+I406),IF(OR(E406="卖出",E406="转换转出"),IF(J406&lt;&gt;"",J406,F406-I406),IF(E406="现金分红",J406,0))))</x:f>
      </x:c>
      <x:c r="L406" s="11"/>
      <x:c r="M406" s="14"/>
    </x:row>
    <x:row r="407" ht="21" customHeight="1">
      <x:c r="A407" s="7"/>
      <x:c r="B407" s="8"/>
      <x:c r="C407" s="9"/>
      <x:c r="D407" s="10" t="str">
        <x:f>IF(C407="","",IFERROR(VLOOKUP(C407,'基金信息'!$A$6:$B$200,2,FALSE),"代码未找到"))</x:f>
      </x:c>
      <x:c r="E407" s="11"/>
      <x:c r="F407" s="12"/>
      <x:c r="G407" s="13"/>
      <x:c r="H407" s="13"/>
      <x:c r="I407" s="11"/>
      <x:c r="J407" s="11"/>
      <x:c r="K407" s="10" t="str">
        <x:f t="shared" si="6">IF(A407="","",IF(OR(E407="买入",E407="定投",E407="转换转入"),-(F407+I407),IF(OR(E407="卖出",E407="转换转出"),IF(J407&lt;&gt;"",J407,F407-I407),IF(E407="现金分红",J407,0))))</x:f>
      </x:c>
      <x:c r="L407" s="11"/>
      <x:c r="M407" s="14"/>
    </x:row>
    <x:row r="408" ht="21" customHeight="1">
      <x:c r="A408" s="7"/>
      <x:c r="B408" s="8"/>
      <x:c r="C408" s="9"/>
      <x:c r="D408" s="10" t="str">
        <x:f>IF(C408="","",IFERROR(VLOOKUP(C408,'基金信息'!$A$6:$B$200,2,FALSE),"代码未找到"))</x:f>
      </x:c>
      <x:c r="E408" s="11"/>
      <x:c r="F408" s="12"/>
      <x:c r="G408" s="13"/>
      <x:c r="H408" s="13"/>
      <x:c r="I408" s="11"/>
      <x:c r="J408" s="11"/>
      <x:c r="K408" s="10" t="str">
        <x:f t="shared" si="6">IF(A408="","",IF(OR(E408="买入",E408="定投",E408="转换转入"),-(F408+I408),IF(OR(E408="卖出",E408="转换转出"),IF(J408&lt;&gt;"",J408,F408-I408),IF(E408="现金分红",J408,0))))</x:f>
      </x:c>
      <x:c r="L408" s="11"/>
      <x:c r="M408" s="14"/>
    </x:row>
    <x:row r="409" ht="21" customHeight="1">
      <x:c r="A409" s="7"/>
      <x:c r="B409" s="8"/>
      <x:c r="C409" s="9"/>
      <x:c r="D409" s="10" t="str">
        <x:f>IF(C409="","",IFERROR(VLOOKUP(C409,'基金信息'!$A$6:$B$200,2,FALSE),"代码未找到"))</x:f>
      </x:c>
      <x:c r="E409" s="11"/>
      <x:c r="F409" s="12"/>
      <x:c r="G409" s="13"/>
      <x:c r="H409" s="13"/>
      <x:c r="I409" s="11"/>
      <x:c r="J409" s="11"/>
      <x:c r="K409" s="10" t="str">
        <x:f t="shared" si="6">IF(A409="","",IF(OR(E409="买入",E409="定投",E409="转换转入"),-(F409+I409),IF(OR(E409="卖出",E409="转换转出"),IF(J409&lt;&gt;"",J409,F409-I409),IF(E409="现金分红",J409,0))))</x:f>
      </x:c>
      <x:c r="L409" s="11"/>
      <x:c r="M409" s="14"/>
    </x:row>
    <x:row r="410" ht="21" customHeight="1">
      <x:c r="A410" s="7"/>
      <x:c r="B410" s="8"/>
      <x:c r="C410" s="9"/>
      <x:c r="D410" s="10" t="str">
        <x:f>IF(C410="","",IFERROR(VLOOKUP(C410,'基金信息'!$A$6:$B$200,2,FALSE),"代码未找到"))</x:f>
      </x:c>
      <x:c r="E410" s="11"/>
      <x:c r="F410" s="12"/>
      <x:c r="G410" s="13"/>
      <x:c r="H410" s="13"/>
      <x:c r="I410" s="11"/>
      <x:c r="J410" s="11"/>
      <x:c r="K410" s="10" t="str">
        <x:f t="shared" si="6">IF(A410="","",IF(OR(E410="买入",E410="定投",E410="转换转入"),-(F410+I410),IF(OR(E410="卖出",E410="转换转出"),IF(J410&lt;&gt;"",J410,F410-I410),IF(E410="现金分红",J410,0))))</x:f>
      </x:c>
      <x:c r="L410" s="11"/>
      <x:c r="M410" s="14"/>
    </x:row>
    <x:row r="411" ht="21" customHeight="1">
      <x:c r="A411" s="7"/>
      <x:c r="B411" s="8"/>
      <x:c r="C411" s="9"/>
      <x:c r="D411" s="10" t="str">
        <x:f>IF(C411="","",IFERROR(VLOOKUP(C411,'基金信息'!$A$6:$B$200,2,FALSE),"代码未找到"))</x:f>
      </x:c>
      <x:c r="E411" s="11"/>
      <x:c r="F411" s="12"/>
      <x:c r="G411" s="13"/>
      <x:c r="H411" s="13"/>
      <x:c r="I411" s="11"/>
      <x:c r="J411" s="11"/>
      <x:c r="K411" s="10" t="str">
        <x:f t="shared" si="6">IF(A411="","",IF(OR(E411="买入",E411="定投",E411="转换转入"),-(F411+I411),IF(OR(E411="卖出",E411="转换转出"),IF(J411&lt;&gt;"",J411,F411-I411),IF(E411="现金分红",J411,0))))</x:f>
      </x:c>
      <x:c r="L411" s="11"/>
      <x:c r="M411" s="14"/>
    </x:row>
    <x:row r="412" ht="21" customHeight="1">
      <x:c r="A412" s="7"/>
      <x:c r="B412" s="8"/>
      <x:c r="C412" s="9"/>
      <x:c r="D412" s="10" t="str">
        <x:f>IF(C412="","",IFERROR(VLOOKUP(C412,'基金信息'!$A$6:$B$200,2,FALSE),"代码未找到"))</x:f>
      </x:c>
      <x:c r="E412" s="11"/>
      <x:c r="F412" s="12"/>
      <x:c r="G412" s="13"/>
      <x:c r="H412" s="13"/>
      <x:c r="I412" s="11"/>
      <x:c r="J412" s="11"/>
      <x:c r="K412" s="10" t="str">
        <x:f t="shared" si="6">IF(A412="","",IF(OR(E412="买入",E412="定投",E412="转换转入"),-(F412+I412),IF(OR(E412="卖出",E412="转换转出"),IF(J412&lt;&gt;"",J412,F412-I412),IF(E412="现金分红",J412,0))))</x:f>
      </x:c>
      <x:c r="L412" s="11"/>
      <x:c r="M412" s="14"/>
    </x:row>
    <x:row r="413" ht="21" customHeight="1">
      <x:c r="A413" s="7"/>
      <x:c r="B413" s="8"/>
      <x:c r="C413" s="9"/>
      <x:c r="D413" s="10" t="str">
        <x:f>IF(C413="","",IFERROR(VLOOKUP(C413,'基金信息'!$A$6:$B$200,2,FALSE),"代码未找到"))</x:f>
      </x:c>
      <x:c r="E413" s="11"/>
      <x:c r="F413" s="12"/>
      <x:c r="G413" s="13"/>
      <x:c r="H413" s="13"/>
      <x:c r="I413" s="11"/>
      <x:c r="J413" s="11"/>
      <x:c r="K413" s="10" t="str">
        <x:f t="shared" si="6">IF(A413="","",IF(OR(E413="买入",E413="定投",E413="转换转入"),-(F413+I413),IF(OR(E413="卖出",E413="转换转出"),IF(J413&lt;&gt;"",J413,F413-I413),IF(E413="现金分红",J413,0))))</x:f>
      </x:c>
      <x:c r="L413" s="11"/>
      <x:c r="M413" s="14"/>
    </x:row>
    <x:row r="414" ht="21" customHeight="1">
      <x:c r="A414" s="7"/>
      <x:c r="B414" s="8"/>
      <x:c r="C414" s="9"/>
      <x:c r="D414" s="10" t="str">
        <x:f>IF(C414="","",IFERROR(VLOOKUP(C414,'基金信息'!$A$6:$B$200,2,FALSE),"代码未找到"))</x:f>
      </x:c>
      <x:c r="E414" s="11"/>
      <x:c r="F414" s="12"/>
      <x:c r="G414" s="13"/>
      <x:c r="H414" s="13"/>
      <x:c r="I414" s="11"/>
      <x:c r="J414" s="11"/>
      <x:c r="K414" s="10" t="str">
        <x:f t="shared" si="6">IF(A414="","",IF(OR(E414="买入",E414="定投",E414="转换转入"),-(F414+I414),IF(OR(E414="卖出",E414="转换转出"),IF(J414&lt;&gt;"",J414,F414-I414),IF(E414="现金分红",J414,0))))</x:f>
      </x:c>
      <x:c r="L414" s="11"/>
      <x:c r="M414" s="14"/>
    </x:row>
    <x:row r="415" ht="21" customHeight="1">
      <x:c r="A415" s="7"/>
      <x:c r="B415" s="8"/>
      <x:c r="C415" s="9"/>
      <x:c r="D415" s="10" t="str">
        <x:f>IF(C415="","",IFERROR(VLOOKUP(C415,'基金信息'!$A$6:$B$200,2,FALSE),"代码未找到"))</x:f>
      </x:c>
      <x:c r="E415" s="11"/>
      <x:c r="F415" s="12"/>
      <x:c r="G415" s="13"/>
      <x:c r="H415" s="13"/>
      <x:c r="I415" s="11"/>
      <x:c r="J415" s="11"/>
      <x:c r="K415" s="10" t="str">
        <x:f t="shared" si="6">IF(A415="","",IF(OR(E415="买入",E415="定投",E415="转换转入"),-(F415+I415),IF(OR(E415="卖出",E415="转换转出"),IF(J415&lt;&gt;"",J415,F415-I415),IF(E415="现金分红",J415,0))))</x:f>
      </x:c>
      <x:c r="L415" s="11"/>
      <x:c r="M415" s="14"/>
    </x:row>
    <x:row r="416" ht="21" customHeight="1">
      <x:c r="A416" s="7"/>
      <x:c r="B416" s="8"/>
      <x:c r="C416" s="9"/>
      <x:c r="D416" s="10" t="str">
        <x:f>IF(C416="","",IFERROR(VLOOKUP(C416,'基金信息'!$A$6:$B$200,2,FALSE),"代码未找到"))</x:f>
      </x:c>
      <x:c r="E416" s="11"/>
      <x:c r="F416" s="12"/>
      <x:c r="G416" s="13"/>
      <x:c r="H416" s="13"/>
      <x:c r="I416" s="11"/>
      <x:c r="J416" s="11"/>
      <x:c r="K416" s="10" t="str">
        <x:f t="shared" si="6">IF(A416="","",IF(OR(E416="买入",E416="定投",E416="转换转入"),-(F416+I416),IF(OR(E416="卖出",E416="转换转出"),IF(J416&lt;&gt;"",J416,F416-I416),IF(E416="现金分红",J416,0))))</x:f>
      </x:c>
      <x:c r="L416" s="11"/>
      <x:c r="M416" s="14"/>
    </x:row>
    <x:row r="417" ht="21" customHeight="1">
      <x:c r="A417" s="7"/>
      <x:c r="B417" s="8"/>
      <x:c r="C417" s="9"/>
      <x:c r="D417" s="10" t="str">
        <x:f>IF(C417="","",IFERROR(VLOOKUP(C417,'基金信息'!$A$6:$B$200,2,FALSE),"代码未找到"))</x:f>
      </x:c>
      <x:c r="E417" s="11"/>
      <x:c r="F417" s="12"/>
      <x:c r="G417" s="13"/>
      <x:c r="H417" s="13"/>
      <x:c r="I417" s="11"/>
      <x:c r="J417" s="11"/>
      <x:c r="K417" s="10" t="str">
        <x:f t="shared" si="6">IF(A417="","",IF(OR(E417="买入",E417="定投",E417="转换转入"),-(F417+I417),IF(OR(E417="卖出",E417="转换转出"),IF(J417&lt;&gt;"",J417,F417-I417),IF(E417="现金分红",J417,0))))</x:f>
      </x:c>
      <x:c r="L417" s="11"/>
      <x:c r="M417" s="14"/>
    </x:row>
    <x:row r="418" ht="21" customHeight="1">
      <x:c r="A418" s="7"/>
      <x:c r="B418" s="8"/>
      <x:c r="C418" s="9"/>
      <x:c r="D418" s="10" t="str">
        <x:f>IF(C418="","",IFERROR(VLOOKUP(C418,'基金信息'!$A$6:$B$200,2,FALSE),"代码未找到"))</x:f>
      </x:c>
      <x:c r="E418" s="11"/>
      <x:c r="F418" s="12"/>
      <x:c r="G418" s="13"/>
      <x:c r="H418" s="13"/>
      <x:c r="I418" s="11"/>
      <x:c r="J418" s="11"/>
      <x:c r="K418" s="10" t="str">
        <x:f t="shared" si="6">IF(A418="","",IF(OR(E418="买入",E418="定投",E418="转换转入"),-(F418+I418),IF(OR(E418="卖出",E418="转换转出"),IF(J418&lt;&gt;"",J418,F418-I418),IF(E418="现金分红",J418,0))))</x:f>
      </x:c>
      <x:c r="L418" s="11"/>
      <x:c r="M418" s="14"/>
    </x:row>
    <x:row r="419" ht="21" customHeight="1">
      <x:c r="A419" s="7"/>
      <x:c r="B419" s="8"/>
      <x:c r="C419" s="9"/>
      <x:c r="D419" s="10" t="str">
        <x:f>IF(C419="","",IFERROR(VLOOKUP(C419,'基金信息'!$A$6:$B$200,2,FALSE),"代码未找到"))</x:f>
      </x:c>
      <x:c r="E419" s="11"/>
      <x:c r="F419" s="12"/>
      <x:c r="G419" s="13"/>
      <x:c r="H419" s="13"/>
      <x:c r="I419" s="11"/>
      <x:c r="J419" s="11"/>
      <x:c r="K419" s="10" t="str">
        <x:f t="shared" si="6">IF(A419="","",IF(OR(E419="买入",E419="定投",E419="转换转入"),-(F419+I419),IF(OR(E419="卖出",E419="转换转出"),IF(J419&lt;&gt;"",J419,F419-I419),IF(E419="现金分红",J419,0))))</x:f>
      </x:c>
      <x:c r="L419" s="11"/>
      <x:c r="M419" s="14"/>
    </x:row>
    <x:row r="420" ht="21" customHeight="1">
      <x:c r="A420" s="7"/>
      <x:c r="B420" s="8"/>
      <x:c r="C420" s="9"/>
      <x:c r="D420" s="10" t="str">
        <x:f>IF(C420="","",IFERROR(VLOOKUP(C420,'基金信息'!$A$6:$B$200,2,FALSE),"代码未找到"))</x:f>
      </x:c>
      <x:c r="E420" s="11"/>
      <x:c r="F420" s="12"/>
      <x:c r="G420" s="13"/>
      <x:c r="H420" s="13"/>
      <x:c r="I420" s="11"/>
      <x:c r="J420" s="11"/>
      <x:c r="K420" s="10" t="str">
        <x:f t="shared" si="6">IF(A420="","",IF(OR(E420="买入",E420="定投",E420="转换转入"),-(F420+I420),IF(OR(E420="卖出",E420="转换转出"),IF(J420&lt;&gt;"",J420,F420-I420),IF(E420="现金分红",J420,0))))</x:f>
      </x:c>
      <x:c r="L420" s="11"/>
      <x:c r="M420" s="14"/>
    </x:row>
    <x:row r="421" ht="21" customHeight="1">
      <x:c r="A421" s="7"/>
      <x:c r="B421" s="8"/>
      <x:c r="C421" s="9"/>
      <x:c r="D421" s="10" t="str">
        <x:f>IF(C421="","",IFERROR(VLOOKUP(C421,'基金信息'!$A$6:$B$200,2,FALSE),"代码未找到"))</x:f>
      </x:c>
      <x:c r="E421" s="11"/>
      <x:c r="F421" s="12"/>
      <x:c r="G421" s="13"/>
      <x:c r="H421" s="13"/>
      <x:c r="I421" s="11"/>
      <x:c r="J421" s="11"/>
      <x:c r="K421" s="10" t="str">
        <x:f t="shared" si="6">IF(A421="","",IF(OR(E421="买入",E421="定投",E421="转换转入"),-(F421+I421),IF(OR(E421="卖出",E421="转换转出"),IF(J421&lt;&gt;"",J421,F421-I421),IF(E421="现金分红",J421,0))))</x:f>
      </x:c>
      <x:c r="L421" s="11"/>
      <x:c r="M421" s="14"/>
    </x:row>
    <x:row r="422" ht="21" customHeight="1">
      <x:c r="A422" s="7"/>
      <x:c r="B422" s="8"/>
      <x:c r="C422" s="9"/>
      <x:c r="D422" s="10" t="str">
        <x:f>IF(C422="","",IFERROR(VLOOKUP(C422,'基金信息'!$A$6:$B$200,2,FALSE),"代码未找到"))</x:f>
      </x:c>
      <x:c r="E422" s="11"/>
      <x:c r="F422" s="12"/>
      <x:c r="G422" s="13"/>
      <x:c r="H422" s="13"/>
      <x:c r="I422" s="11"/>
      <x:c r="J422" s="11"/>
      <x:c r="K422" s="10" t="str">
        <x:f t="shared" si="6">IF(A422="","",IF(OR(E422="买入",E422="定投",E422="转换转入"),-(F422+I422),IF(OR(E422="卖出",E422="转换转出"),IF(J422&lt;&gt;"",J422,F422-I422),IF(E422="现金分红",J422,0))))</x:f>
      </x:c>
      <x:c r="L422" s="11"/>
      <x:c r="M422" s="14"/>
    </x:row>
    <x:row r="423" ht="21" customHeight="1">
      <x:c r="A423" s="7"/>
      <x:c r="B423" s="8"/>
      <x:c r="C423" s="9"/>
      <x:c r="D423" s="10" t="str">
        <x:f>IF(C423="","",IFERROR(VLOOKUP(C423,'基金信息'!$A$6:$B$200,2,FALSE),"代码未找到"))</x:f>
      </x:c>
      <x:c r="E423" s="11"/>
      <x:c r="F423" s="12"/>
      <x:c r="G423" s="13"/>
      <x:c r="H423" s="13"/>
      <x:c r="I423" s="11"/>
      <x:c r="J423" s="11"/>
      <x:c r="K423" s="10" t="str">
        <x:f t="shared" si="6">IF(A423="","",IF(OR(E423="买入",E423="定投",E423="转换转入"),-(F423+I423),IF(OR(E423="卖出",E423="转换转出"),IF(J423&lt;&gt;"",J423,F423-I423),IF(E423="现金分红",J423,0))))</x:f>
      </x:c>
      <x:c r="L423" s="11"/>
      <x:c r="M423" s="14"/>
    </x:row>
    <x:row r="424" ht="21" customHeight="1">
      <x:c r="A424" s="7"/>
      <x:c r="B424" s="8"/>
      <x:c r="C424" s="9"/>
      <x:c r="D424" s="10" t="str">
        <x:f>IF(C424="","",IFERROR(VLOOKUP(C424,'基金信息'!$A$6:$B$200,2,FALSE),"代码未找到"))</x:f>
      </x:c>
      <x:c r="E424" s="11"/>
      <x:c r="F424" s="12"/>
      <x:c r="G424" s="13"/>
      <x:c r="H424" s="13"/>
      <x:c r="I424" s="11"/>
      <x:c r="J424" s="11"/>
      <x:c r="K424" s="10" t="str">
        <x:f t="shared" si="6">IF(A424="","",IF(OR(E424="买入",E424="定投",E424="转换转入"),-(F424+I424),IF(OR(E424="卖出",E424="转换转出"),IF(J424&lt;&gt;"",J424,F424-I424),IF(E424="现金分红",J424,0))))</x:f>
      </x:c>
      <x:c r="L424" s="11"/>
      <x:c r="M424" s="14"/>
    </x:row>
    <x:row r="425" ht="21" customHeight="1">
      <x:c r="A425" s="7"/>
      <x:c r="B425" s="8"/>
      <x:c r="C425" s="9"/>
      <x:c r="D425" s="10" t="str">
        <x:f>IF(C425="","",IFERROR(VLOOKUP(C425,'基金信息'!$A$6:$B$200,2,FALSE),"代码未找到"))</x:f>
      </x:c>
      <x:c r="E425" s="11"/>
      <x:c r="F425" s="12"/>
      <x:c r="G425" s="13"/>
      <x:c r="H425" s="13"/>
      <x:c r="I425" s="11"/>
      <x:c r="J425" s="11"/>
      <x:c r="K425" s="10" t="str">
        <x:f t="shared" si="6">IF(A425="","",IF(OR(E425="买入",E425="定投",E425="转换转入"),-(F425+I425),IF(OR(E425="卖出",E425="转换转出"),IF(J425&lt;&gt;"",J425,F425-I425),IF(E425="现金分红",J425,0))))</x:f>
      </x:c>
      <x:c r="L425" s="11"/>
      <x:c r="M425" s="14"/>
    </x:row>
    <x:row r="426" ht="21" customHeight="1">
      <x:c r="A426" s="7"/>
      <x:c r="B426" s="8"/>
      <x:c r="C426" s="9"/>
      <x:c r="D426" s="10" t="str">
        <x:f>IF(C426="","",IFERROR(VLOOKUP(C426,'基金信息'!$A$6:$B$200,2,FALSE),"代码未找到"))</x:f>
      </x:c>
      <x:c r="E426" s="11"/>
      <x:c r="F426" s="12"/>
      <x:c r="G426" s="13"/>
      <x:c r="H426" s="13"/>
      <x:c r="I426" s="11"/>
      <x:c r="J426" s="11"/>
      <x:c r="K426" s="10" t="str">
        <x:f t="shared" si="6">IF(A426="","",IF(OR(E426="买入",E426="定投",E426="转换转入"),-(F426+I426),IF(OR(E426="卖出",E426="转换转出"),IF(J426&lt;&gt;"",J426,F426-I426),IF(E426="现金分红",J426,0))))</x:f>
      </x:c>
      <x:c r="L426" s="11"/>
      <x:c r="M426" s="14"/>
    </x:row>
    <x:row r="427" ht="21" customHeight="1">
      <x:c r="A427" s="7"/>
      <x:c r="B427" s="8"/>
      <x:c r="C427" s="9"/>
      <x:c r="D427" s="10" t="str">
        <x:f>IF(C427="","",IFERROR(VLOOKUP(C427,'基金信息'!$A$6:$B$200,2,FALSE),"代码未找到"))</x:f>
      </x:c>
      <x:c r="E427" s="11"/>
      <x:c r="F427" s="12"/>
      <x:c r="G427" s="13"/>
      <x:c r="H427" s="13"/>
      <x:c r="I427" s="11"/>
      <x:c r="J427" s="11"/>
      <x:c r="K427" s="10" t="str">
        <x:f t="shared" si="6">IF(A427="","",IF(OR(E427="买入",E427="定投",E427="转换转入"),-(F427+I427),IF(OR(E427="卖出",E427="转换转出"),IF(J427&lt;&gt;"",J427,F427-I427),IF(E427="现金分红",J427,0))))</x:f>
      </x:c>
      <x:c r="L427" s="11"/>
      <x:c r="M427" s="14"/>
    </x:row>
    <x:row r="428" ht="21" customHeight="1">
      <x:c r="A428" s="7"/>
      <x:c r="B428" s="8"/>
      <x:c r="C428" s="9"/>
      <x:c r="D428" s="10" t="str">
        <x:f>IF(C428="","",IFERROR(VLOOKUP(C428,'基金信息'!$A$6:$B$200,2,FALSE),"代码未找到"))</x:f>
      </x:c>
      <x:c r="E428" s="11"/>
      <x:c r="F428" s="12"/>
      <x:c r="G428" s="13"/>
      <x:c r="H428" s="13"/>
      <x:c r="I428" s="11"/>
      <x:c r="J428" s="11"/>
      <x:c r="K428" s="10" t="str">
        <x:f t="shared" si="6">IF(A428="","",IF(OR(E428="买入",E428="定投",E428="转换转入"),-(F428+I428),IF(OR(E428="卖出",E428="转换转出"),IF(J428&lt;&gt;"",J428,F428-I428),IF(E428="现金分红",J428,0))))</x:f>
      </x:c>
      <x:c r="L428" s="11"/>
      <x:c r="M428" s="14"/>
    </x:row>
    <x:row r="429" ht="21" customHeight="1">
      <x:c r="A429" s="7"/>
      <x:c r="B429" s="8"/>
      <x:c r="C429" s="9"/>
      <x:c r="D429" s="10" t="str">
        <x:f>IF(C429="","",IFERROR(VLOOKUP(C429,'基金信息'!$A$6:$B$200,2,FALSE),"代码未找到"))</x:f>
      </x:c>
      <x:c r="E429" s="11"/>
      <x:c r="F429" s="12"/>
      <x:c r="G429" s="13"/>
      <x:c r="H429" s="13"/>
      <x:c r="I429" s="11"/>
      <x:c r="J429" s="11"/>
      <x:c r="K429" s="10" t="str">
        <x:f t="shared" si="6">IF(A429="","",IF(OR(E429="买入",E429="定投",E429="转换转入"),-(F429+I429),IF(OR(E429="卖出",E429="转换转出"),IF(J429&lt;&gt;"",J429,F429-I429),IF(E429="现金分红",J429,0))))</x:f>
      </x:c>
      <x:c r="L429" s="11"/>
      <x:c r="M429" s="14"/>
    </x:row>
    <x:row r="430" ht="21" customHeight="1">
      <x:c r="A430" s="7"/>
      <x:c r="B430" s="8"/>
      <x:c r="C430" s="9"/>
      <x:c r="D430" s="10" t="str">
        <x:f>IF(C430="","",IFERROR(VLOOKUP(C430,'基金信息'!$A$6:$B$200,2,FALSE),"代码未找到"))</x:f>
      </x:c>
      <x:c r="E430" s="11"/>
      <x:c r="F430" s="12"/>
      <x:c r="G430" s="13"/>
      <x:c r="H430" s="13"/>
      <x:c r="I430" s="11"/>
      <x:c r="J430" s="11"/>
      <x:c r="K430" s="10" t="str">
        <x:f t="shared" si="6">IF(A430="","",IF(OR(E430="买入",E430="定投",E430="转换转入"),-(F430+I430),IF(OR(E430="卖出",E430="转换转出"),IF(J430&lt;&gt;"",J430,F430-I430),IF(E430="现金分红",J430,0))))</x:f>
      </x:c>
      <x:c r="L430" s="11"/>
      <x:c r="M430" s="14"/>
    </x:row>
    <x:row r="431" ht="21" customHeight="1">
      <x:c r="A431" s="7"/>
      <x:c r="B431" s="8"/>
      <x:c r="C431" s="9"/>
      <x:c r="D431" s="10" t="str">
        <x:f>IF(C431="","",IFERROR(VLOOKUP(C431,'基金信息'!$A$6:$B$200,2,FALSE),"代码未找到"))</x:f>
      </x:c>
      <x:c r="E431" s="11"/>
      <x:c r="F431" s="12"/>
      <x:c r="G431" s="13"/>
      <x:c r="H431" s="13"/>
      <x:c r="I431" s="11"/>
      <x:c r="J431" s="11"/>
      <x:c r="K431" s="10" t="str">
        <x:f t="shared" si="6">IF(A431="","",IF(OR(E431="买入",E431="定投",E431="转换转入"),-(F431+I431),IF(OR(E431="卖出",E431="转换转出"),IF(J431&lt;&gt;"",J431,F431-I431),IF(E431="现金分红",J431,0))))</x:f>
      </x:c>
      <x:c r="L431" s="11"/>
      <x:c r="M431" s="14"/>
    </x:row>
    <x:row r="432" ht="21" customHeight="1">
      <x:c r="A432" s="7"/>
      <x:c r="B432" s="8"/>
      <x:c r="C432" s="9"/>
      <x:c r="D432" s="10" t="str">
        <x:f>IF(C432="","",IFERROR(VLOOKUP(C432,'基金信息'!$A$6:$B$200,2,FALSE),"代码未找到"))</x:f>
      </x:c>
      <x:c r="E432" s="11"/>
      <x:c r="F432" s="12"/>
      <x:c r="G432" s="13"/>
      <x:c r="H432" s="13"/>
      <x:c r="I432" s="11"/>
      <x:c r="J432" s="11"/>
      <x:c r="K432" s="10" t="str">
        <x:f t="shared" si="6">IF(A432="","",IF(OR(E432="买入",E432="定投",E432="转换转入"),-(F432+I432),IF(OR(E432="卖出",E432="转换转出"),IF(J432&lt;&gt;"",J432,F432-I432),IF(E432="现金分红",J432,0))))</x:f>
      </x:c>
      <x:c r="L432" s="11"/>
      <x:c r="M432" s="14"/>
    </x:row>
    <x:row r="433" ht="21" customHeight="1">
      <x:c r="A433" s="7"/>
      <x:c r="B433" s="8"/>
      <x:c r="C433" s="9"/>
      <x:c r="D433" s="10" t="str">
        <x:f>IF(C433="","",IFERROR(VLOOKUP(C433,'基金信息'!$A$6:$B$200,2,FALSE),"代码未找到"))</x:f>
      </x:c>
      <x:c r="E433" s="11"/>
      <x:c r="F433" s="12"/>
      <x:c r="G433" s="13"/>
      <x:c r="H433" s="13"/>
      <x:c r="I433" s="11"/>
      <x:c r="J433" s="11"/>
      <x:c r="K433" s="10" t="str">
        <x:f t="shared" si="6">IF(A433="","",IF(OR(E433="买入",E433="定投",E433="转换转入"),-(F433+I433),IF(OR(E433="卖出",E433="转换转出"),IF(J433&lt;&gt;"",J433,F433-I433),IF(E433="现金分红",J433,0))))</x:f>
      </x:c>
      <x:c r="L433" s="11"/>
      <x:c r="M433" s="14"/>
    </x:row>
    <x:row r="434" ht="21" customHeight="1">
      <x:c r="A434" s="7"/>
      <x:c r="B434" s="8"/>
      <x:c r="C434" s="9"/>
      <x:c r="D434" s="10" t="str">
        <x:f>IF(C434="","",IFERROR(VLOOKUP(C434,'基金信息'!$A$6:$B$200,2,FALSE),"代码未找到"))</x:f>
      </x:c>
      <x:c r="E434" s="11"/>
      <x:c r="F434" s="12"/>
      <x:c r="G434" s="13"/>
      <x:c r="H434" s="13"/>
      <x:c r="I434" s="11"/>
      <x:c r="J434" s="11"/>
      <x:c r="K434" s="10" t="str">
        <x:f t="shared" si="6">IF(A434="","",IF(OR(E434="买入",E434="定投",E434="转换转入"),-(F434+I434),IF(OR(E434="卖出",E434="转换转出"),IF(J434&lt;&gt;"",J434,F434-I434),IF(E434="现金分红",J434,0))))</x:f>
      </x:c>
      <x:c r="L434" s="11"/>
      <x:c r="M434" s="14"/>
    </x:row>
    <x:row r="435" ht="21" customHeight="1">
      <x:c r="A435" s="7"/>
      <x:c r="B435" s="8"/>
      <x:c r="C435" s="9"/>
      <x:c r="D435" s="10" t="str">
        <x:f>IF(C435="","",IFERROR(VLOOKUP(C435,'基金信息'!$A$6:$B$200,2,FALSE),"代码未找到"))</x:f>
      </x:c>
      <x:c r="E435" s="11"/>
      <x:c r="F435" s="12"/>
      <x:c r="G435" s="13"/>
      <x:c r="H435" s="13"/>
      <x:c r="I435" s="11"/>
      <x:c r="J435" s="11"/>
      <x:c r="K435" s="10" t="str">
        <x:f t="shared" si="6">IF(A435="","",IF(OR(E435="买入",E435="定投",E435="转换转入"),-(F435+I435),IF(OR(E435="卖出",E435="转换转出"),IF(J435&lt;&gt;"",J435,F435-I435),IF(E435="现金分红",J435,0))))</x:f>
      </x:c>
      <x:c r="L435" s="11"/>
      <x:c r="M435" s="14"/>
    </x:row>
    <x:row r="436" ht="21" customHeight="1">
      <x:c r="A436" s="7"/>
      <x:c r="B436" s="8"/>
      <x:c r="C436" s="9"/>
      <x:c r="D436" s="10" t="str">
        <x:f>IF(C436="","",IFERROR(VLOOKUP(C436,'基金信息'!$A$6:$B$200,2,FALSE),"代码未找到"))</x:f>
      </x:c>
      <x:c r="E436" s="11"/>
      <x:c r="F436" s="12"/>
      <x:c r="G436" s="13"/>
      <x:c r="H436" s="13"/>
      <x:c r="I436" s="11"/>
      <x:c r="J436" s="11"/>
      <x:c r="K436" s="10" t="str">
        <x:f t="shared" si="6">IF(A436="","",IF(OR(E436="买入",E436="定投",E436="转换转入"),-(F436+I436),IF(OR(E436="卖出",E436="转换转出"),IF(J436&lt;&gt;"",J436,F436-I436),IF(E436="现金分红",J436,0))))</x:f>
      </x:c>
      <x:c r="L436" s="11"/>
      <x:c r="M436" s="14"/>
    </x:row>
    <x:row r="437" ht="21" customHeight="1">
      <x:c r="A437" s="7"/>
      <x:c r="B437" s="8"/>
      <x:c r="C437" s="9"/>
      <x:c r="D437" s="10" t="str">
        <x:f>IF(C437="","",IFERROR(VLOOKUP(C437,'基金信息'!$A$6:$B$200,2,FALSE),"代码未找到"))</x:f>
      </x:c>
      <x:c r="E437" s="11"/>
      <x:c r="F437" s="12"/>
      <x:c r="G437" s="13"/>
      <x:c r="H437" s="13"/>
      <x:c r="I437" s="11"/>
      <x:c r="J437" s="11"/>
      <x:c r="K437" s="10" t="str">
        <x:f t="shared" si="6">IF(A437="","",IF(OR(E437="买入",E437="定投",E437="转换转入"),-(F437+I437),IF(OR(E437="卖出",E437="转换转出"),IF(J437&lt;&gt;"",J437,F437-I437),IF(E437="现金分红",J437,0))))</x:f>
      </x:c>
      <x:c r="L437" s="11"/>
      <x:c r="M437" s="14"/>
    </x:row>
    <x:row r="438" ht="21" customHeight="1">
      <x:c r="A438" s="7"/>
      <x:c r="B438" s="8"/>
      <x:c r="C438" s="9"/>
      <x:c r="D438" s="10" t="str">
        <x:f>IF(C438="","",IFERROR(VLOOKUP(C438,'基金信息'!$A$6:$B$200,2,FALSE),"代码未找到"))</x:f>
      </x:c>
      <x:c r="E438" s="11"/>
      <x:c r="F438" s="12"/>
      <x:c r="G438" s="13"/>
      <x:c r="H438" s="13"/>
      <x:c r="I438" s="11"/>
      <x:c r="J438" s="11"/>
      <x:c r="K438" s="10" t="str">
        <x:f t="shared" si="6">IF(A438="","",IF(OR(E438="买入",E438="定投",E438="转换转入"),-(F438+I438),IF(OR(E438="卖出",E438="转换转出"),IF(J438&lt;&gt;"",J438,F438-I438),IF(E438="现金分红",J438,0))))</x:f>
      </x:c>
      <x:c r="L438" s="11"/>
      <x:c r="M438" s="14"/>
    </x:row>
    <x:row r="439" ht="21" customHeight="1">
      <x:c r="A439" s="7"/>
      <x:c r="B439" s="8"/>
      <x:c r="C439" s="9"/>
      <x:c r="D439" s="10" t="str">
        <x:f>IF(C439="","",IFERROR(VLOOKUP(C439,'基金信息'!$A$6:$B$200,2,FALSE),"代码未找到"))</x:f>
      </x:c>
      <x:c r="E439" s="11"/>
      <x:c r="F439" s="12"/>
      <x:c r="G439" s="13"/>
      <x:c r="H439" s="13"/>
      <x:c r="I439" s="11"/>
      <x:c r="J439" s="11"/>
      <x:c r="K439" s="10" t="str">
        <x:f t="shared" si="6">IF(A439="","",IF(OR(E439="买入",E439="定投",E439="转换转入"),-(F439+I439),IF(OR(E439="卖出",E439="转换转出"),IF(J439&lt;&gt;"",J439,F439-I439),IF(E439="现金分红",J439,0))))</x:f>
      </x:c>
      <x:c r="L439" s="11"/>
      <x:c r="M439" s="14"/>
    </x:row>
    <x:row r="440" ht="21" customHeight="1">
      <x:c r="A440" s="7"/>
      <x:c r="B440" s="8"/>
      <x:c r="C440" s="9"/>
      <x:c r="D440" s="10" t="str">
        <x:f>IF(C440="","",IFERROR(VLOOKUP(C440,'基金信息'!$A$6:$B$200,2,FALSE),"代码未找到"))</x:f>
      </x:c>
      <x:c r="E440" s="11"/>
      <x:c r="F440" s="12"/>
      <x:c r="G440" s="13"/>
      <x:c r="H440" s="13"/>
      <x:c r="I440" s="11"/>
      <x:c r="J440" s="11"/>
      <x:c r="K440" s="10" t="str">
        <x:f t="shared" si="6">IF(A440="","",IF(OR(E440="买入",E440="定投",E440="转换转入"),-(F440+I440),IF(OR(E440="卖出",E440="转换转出"),IF(J440&lt;&gt;"",J440,F440-I440),IF(E440="现金分红",J440,0))))</x:f>
      </x:c>
      <x:c r="L440" s="11"/>
      <x:c r="M440" s="14"/>
    </x:row>
    <x:row r="441" ht="21" customHeight="1">
      <x:c r="A441" s="7"/>
      <x:c r="B441" s="8"/>
      <x:c r="C441" s="9"/>
      <x:c r="D441" s="10" t="str">
        <x:f>IF(C441="","",IFERROR(VLOOKUP(C441,'基金信息'!$A$6:$B$200,2,FALSE),"代码未找到"))</x:f>
      </x:c>
      <x:c r="E441" s="11"/>
      <x:c r="F441" s="12"/>
      <x:c r="G441" s="13"/>
      <x:c r="H441" s="13"/>
      <x:c r="I441" s="11"/>
      <x:c r="J441" s="11"/>
      <x:c r="K441" s="10" t="str">
        <x:f t="shared" si="6">IF(A441="","",IF(OR(E441="买入",E441="定投",E441="转换转入"),-(F441+I441),IF(OR(E441="卖出",E441="转换转出"),IF(J441&lt;&gt;"",J441,F441-I441),IF(E441="现金分红",J441,0))))</x:f>
      </x:c>
      <x:c r="L441" s="11"/>
      <x:c r="M441" s="14"/>
    </x:row>
    <x:row r="442" ht="21" customHeight="1">
      <x:c r="A442" s="7"/>
      <x:c r="B442" s="8"/>
      <x:c r="C442" s="9"/>
      <x:c r="D442" s="10" t="str">
        <x:f>IF(C442="","",IFERROR(VLOOKUP(C442,'基金信息'!$A$6:$B$200,2,FALSE),"代码未找到"))</x:f>
      </x:c>
      <x:c r="E442" s="11"/>
      <x:c r="F442" s="12"/>
      <x:c r="G442" s="13"/>
      <x:c r="H442" s="13"/>
      <x:c r="I442" s="11"/>
      <x:c r="J442" s="11"/>
      <x:c r="K442" s="10" t="str">
        <x:f t="shared" si="6">IF(A442="","",IF(OR(E442="买入",E442="定投",E442="转换转入"),-(F442+I442),IF(OR(E442="卖出",E442="转换转出"),IF(J442&lt;&gt;"",J442,F442-I442),IF(E442="现金分红",J442,0))))</x:f>
      </x:c>
      <x:c r="L442" s="11"/>
      <x:c r="M442" s="14"/>
    </x:row>
    <x:row r="443" ht="21" customHeight="1">
      <x:c r="A443" s="7"/>
      <x:c r="B443" s="8"/>
      <x:c r="C443" s="9"/>
      <x:c r="D443" s="10" t="str">
        <x:f>IF(C443="","",IFERROR(VLOOKUP(C443,'基金信息'!$A$6:$B$200,2,FALSE),"代码未找到"))</x:f>
      </x:c>
      <x:c r="E443" s="11"/>
      <x:c r="F443" s="12"/>
      <x:c r="G443" s="13"/>
      <x:c r="H443" s="13"/>
      <x:c r="I443" s="11"/>
      <x:c r="J443" s="11"/>
      <x:c r="K443" s="10" t="str">
        <x:f t="shared" si="6">IF(A443="","",IF(OR(E443="买入",E443="定投",E443="转换转入"),-(F443+I443),IF(OR(E443="卖出",E443="转换转出"),IF(J443&lt;&gt;"",J443,F443-I443),IF(E443="现金分红",J443,0))))</x:f>
      </x:c>
      <x:c r="L443" s="11"/>
      <x:c r="M443" s="14"/>
    </x:row>
    <x:row r="444" ht="21" customHeight="1">
      <x:c r="A444" s="7"/>
      <x:c r="B444" s="8"/>
      <x:c r="C444" s="9"/>
      <x:c r="D444" s="10" t="str">
        <x:f>IF(C444="","",IFERROR(VLOOKUP(C444,'基金信息'!$A$6:$B$200,2,FALSE),"代码未找到"))</x:f>
      </x:c>
      <x:c r="E444" s="11"/>
      <x:c r="F444" s="12"/>
      <x:c r="G444" s="13"/>
      <x:c r="H444" s="13"/>
      <x:c r="I444" s="11"/>
      <x:c r="J444" s="11"/>
      <x:c r="K444" s="10" t="str">
        <x:f t="shared" si="6">IF(A444="","",IF(OR(E444="买入",E444="定投",E444="转换转入"),-(F444+I444),IF(OR(E444="卖出",E444="转换转出"),IF(J444&lt;&gt;"",J444,F444-I444),IF(E444="现金分红",J444,0))))</x:f>
      </x:c>
      <x:c r="L444" s="11"/>
      <x:c r="M444" s="14"/>
    </x:row>
    <x:row r="445" ht="21" customHeight="1">
      <x:c r="A445" s="7"/>
      <x:c r="B445" s="8"/>
      <x:c r="C445" s="9"/>
      <x:c r="D445" s="10" t="str">
        <x:f>IF(C445="","",IFERROR(VLOOKUP(C445,'基金信息'!$A$6:$B$200,2,FALSE),"代码未找到"))</x:f>
      </x:c>
      <x:c r="E445" s="11"/>
      <x:c r="F445" s="12"/>
      <x:c r="G445" s="13"/>
      <x:c r="H445" s="13"/>
      <x:c r="I445" s="11"/>
      <x:c r="J445" s="11"/>
      <x:c r="K445" s="10" t="str">
        <x:f t="shared" si="6">IF(A445="","",IF(OR(E445="买入",E445="定投",E445="转换转入"),-(F445+I445),IF(OR(E445="卖出",E445="转换转出"),IF(J445&lt;&gt;"",J445,F445-I445),IF(E445="现金分红",J445,0))))</x:f>
      </x:c>
      <x:c r="L445" s="11"/>
      <x:c r="M445" s="14"/>
    </x:row>
    <x:row r="446" ht="21" customHeight="1">
      <x:c r="A446" s="7"/>
      <x:c r="B446" s="8"/>
      <x:c r="C446" s="9"/>
      <x:c r="D446" s="10" t="str">
        <x:f>IF(C446="","",IFERROR(VLOOKUP(C446,'基金信息'!$A$6:$B$200,2,FALSE),"代码未找到"))</x:f>
      </x:c>
      <x:c r="E446" s="11"/>
      <x:c r="F446" s="12"/>
      <x:c r="G446" s="13"/>
      <x:c r="H446" s="13"/>
      <x:c r="I446" s="11"/>
      <x:c r="J446" s="11"/>
      <x:c r="K446" s="10" t="str">
        <x:f t="shared" si="6">IF(A446="","",IF(OR(E446="买入",E446="定投",E446="转换转入"),-(F446+I446),IF(OR(E446="卖出",E446="转换转出"),IF(J446&lt;&gt;"",J446,F446-I446),IF(E446="现金分红",J446,0))))</x:f>
      </x:c>
      <x:c r="L446" s="11"/>
      <x:c r="M446" s="14"/>
    </x:row>
    <x:row r="447" ht="21" customHeight="1">
      <x:c r="A447" s="7"/>
      <x:c r="B447" s="8"/>
      <x:c r="C447" s="9"/>
      <x:c r="D447" s="10" t="str">
        <x:f>IF(C447="","",IFERROR(VLOOKUP(C447,'基金信息'!$A$6:$B$200,2,FALSE),"代码未找到"))</x:f>
      </x:c>
      <x:c r="E447" s="11"/>
      <x:c r="F447" s="12"/>
      <x:c r="G447" s="13"/>
      <x:c r="H447" s="13"/>
      <x:c r="I447" s="11"/>
      <x:c r="J447" s="11"/>
      <x:c r="K447" s="10" t="str">
        <x:f t="shared" si="6">IF(A447="","",IF(OR(E447="买入",E447="定投",E447="转换转入"),-(F447+I447),IF(OR(E447="卖出",E447="转换转出"),IF(J447&lt;&gt;"",J447,F447-I447),IF(E447="现金分红",J447,0))))</x:f>
      </x:c>
      <x:c r="L447" s="11"/>
      <x:c r="M447" s="14"/>
    </x:row>
    <x:row r="448" ht="21" customHeight="1">
      <x:c r="A448" s="7"/>
      <x:c r="B448" s="8"/>
      <x:c r="C448" s="9"/>
      <x:c r="D448" s="10" t="str">
        <x:f>IF(C448="","",IFERROR(VLOOKUP(C448,'基金信息'!$A$6:$B$200,2,FALSE),"代码未找到"))</x:f>
      </x:c>
      <x:c r="E448" s="11"/>
      <x:c r="F448" s="12"/>
      <x:c r="G448" s="13"/>
      <x:c r="H448" s="13"/>
      <x:c r="I448" s="11"/>
      <x:c r="J448" s="11"/>
      <x:c r="K448" s="10" t="str">
        <x:f t="shared" si="6">IF(A448="","",IF(OR(E448="买入",E448="定投",E448="转换转入"),-(F448+I448),IF(OR(E448="卖出",E448="转换转出"),IF(J448&lt;&gt;"",J448,F448-I448),IF(E448="现金分红",J448,0))))</x:f>
      </x:c>
      <x:c r="L448" s="11"/>
      <x:c r="M448" s="14"/>
    </x:row>
    <x:row r="449" ht="21" customHeight="1">
      <x:c r="A449" s="7"/>
      <x:c r="B449" s="8"/>
      <x:c r="C449" s="9"/>
      <x:c r="D449" s="10" t="str">
        <x:f>IF(C449="","",IFERROR(VLOOKUP(C449,'基金信息'!$A$6:$B$200,2,FALSE),"代码未找到"))</x:f>
      </x:c>
      <x:c r="E449" s="11"/>
      <x:c r="F449" s="12"/>
      <x:c r="G449" s="13"/>
      <x:c r="H449" s="13"/>
      <x:c r="I449" s="11"/>
      <x:c r="J449" s="11"/>
      <x:c r="K449" s="10" t="str">
        <x:f t="shared" si="6">IF(A449="","",IF(OR(E449="买入",E449="定投",E449="转换转入"),-(F449+I449),IF(OR(E449="卖出",E449="转换转出"),IF(J449&lt;&gt;"",J449,F449-I449),IF(E449="现金分红",J449,0))))</x:f>
      </x:c>
      <x:c r="L449" s="11"/>
      <x:c r="M449" s="14"/>
    </x:row>
    <x:row r="450" ht="21" customHeight="1">
      <x:c r="A450" s="7"/>
      <x:c r="B450" s="8"/>
      <x:c r="C450" s="9"/>
      <x:c r="D450" s="10" t="str">
        <x:f>IF(C450="","",IFERROR(VLOOKUP(C450,'基金信息'!$A$6:$B$200,2,FALSE),"代码未找到"))</x:f>
      </x:c>
      <x:c r="E450" s="11"/>
      <x:c r="F450" s="12"/>
      <x:c r="G450" s="13"/>
      <x:c r="H450" s="13"/>
      <x:c r="I450" s="11"/>
      <x:c r="J450" s="11"/>
      <x:c r="K450" s="10" t="str">
        <x:f t="shared" si="6">IF(A450="","",IF(OR(E450="买入",E450="定投",E450="转换转入"),-(F450+I450),IF(OR(E450="卖出",E450="转换转出"),IF(J450&lt;&gt;"",J450,F450-I450),IF(E450="现金分红",J450,0))))</x:f>
      </x:c>
      <x:c r="L450" s="11"/>
      <x:c r="M450" s="14"/>
    </x:row>
    <x:row r="451" ht="21" customHeight="1">
      <x:c r="A451" s="7"/>
      <x:c r="B451" s="8"/>
      <x:c r="C451" s="9"/>
      <x:c r="D451" s="10" t="str">
        <x:f>IF(C451="","",IFERROR(VLOOKUP(C451,'基金信息'!$A$6:$B$200,2,FALSE),"代码未找到"))</x:f>
      </x:c>
      <x:c r="E451" s="11"/>
      <x:c r="F451" s="12"/>
      <x:c r="G451" s="13"/>
      <x:c r="H451" s="13"/>
      <x:c r="I451" s="11"/>
      <x:c r="J451" s="11"/>
      <x:c r="K451" s="10" t="str">
        <x:f t="shared" si="6">IF(A451="","",IF(OR(E451="买入",E451="定投",E451="转换转入"),-(F451+I451),IF(OR(E451="卖出",E451="转换转出"),IF(J451&lt;&gt;"",J451,F451-I451),IF(E451="现金分红",J451,0))))</x:f>
      </x:c>
      <x:c r="L451" s="11"/>
      <x:c r="M451" s="14"/>
    </x:row>
    <x:row r="452" ht="21" customHeight="1">
      <x:c r="A452" s="7"/>
      <x:c r="B452" s="8"/>
      <x:c r="C452" s="9"/>
      <x:c r="D452" s="10" t="str">
        <x:f>IF(C452="","",IFERROR(VLOOKUP(C452,'基金信息'!$A$6:$B$200,2,FALSE),"代码未找到"))</x:f>
      </x:c>
      <x:c r="E452" s="11"/>
      <x:c r="F452" s="12"/>
      <x:c r="G452" s="13"/>
      <x:c r="H452" s="13"/>
      <x:c r="I452" s="11"/>
      <x:c r="J452" s="11"/>
      <x:c r="K452" s="10" t="str">
        <x:f t="shared" si="6">IF(A452="","",IF(OR(E452="买入",E452="定投",E452="转换转入"),-(F452+I452),IF(OR(E452="卖出",E452="转换转出"),IF(J452&lt;&gt;"",J452,F452-I452),IF(E452="现金分红",J452,0))))</x:f>
      </x:c>
      <x:c r="L452" s="11"/>
      <x:c r="M452" s="14"/>
    </x:row>
    <x:row r="453" ht="21" customHeight="1">
      <x:c r="A453" s="7"/>
      <x:c r="B453" s="8"/>
      <x:c r="C453" s="9"/>
      <x:c r="D453" s="10" t="str">
        <x:f>IF(C453="","",IFERROR(VLOOKUP(C453,'基金信息'!$A$6:$B$200,2,FALSE),"代码未找到"))</x:f>
      </x:c>
      <x:c r="E453" s="11"/>
      <x:c r="F453" s="12"/>
      <x:c r="G453" s="13"/>
      <x:c r="H453" s="13"/>
      <x:c r="I453" s="11"/>
      <x:c r="J453" s="11"/>
      <x:c r="K453" s="10" t="str">
        <x:f t="shared" ref="K453:K504" si="7">IF(A453="","",IF(OR(E453="买入",E453="定投",E453="转换转入"),-(F453+I453),IF(OR(E453="卖出",E453="转换转出"),IF(J453&lt;&gt;"",J453,F453-I453),IF(E453="现金分红",J453,0))))</x:f>
      </x:c>
      <x:c r="L453" s="11"/>
      <x:c r="M453" s="14"/>
    </x:row>
    <x:row r="454" ht="21" customHeight="1">
      <x:c r="A454" s="7"/>
      <x:c r="B454" s="8"/>
      <x:c r="C454" s="9"/>
      <x:c r="D454" s="10" t="str">
        <x:f>IF(C454="","",IFERROR(VLOOKUP(C454,'基金信息'!$A$6:$B$200,2,FALSE),"代码未找到"))</x:f>
      </x:c>
      <x:c r="E454" s="11"/>
      <x:c r="F454" s="12"/>
      <x:c r="G454" s="13"/>
      <x:c r="H454" s="13"/>
      <x:c r="I454" s="11"/>
      <x:c r="J454" s="11"/>
      <x:c r="K454" s="10" t="str">
        <x:f t="shared" si="7">IF(A454="","",IF(OR(E454="买入",E454="定投",E454="转换转入"),-(F454+I454),IF(OR(E454="卖出",E454="转换转出"),IF(J454&lt;&gt;"",J454,F454-I454),IF(E454="现金分红",J454,0))))</x:f>
      </x:c>
      <x:c r="L454" s="11"/>
      <x:c r="M454" s="14"/>
    </x:row>
    <x:row r="455" ht="21" customHeight="1">
      <x:c r="A455" s="7"/>
      <x:c r="B455" s="8"/>
      <x:c r="C455" s="9"/>
      <x:c r="D455" s="10" t="str">
        <x:f>IF(C455="","",IFERROR(VLOOKUP(C455,'基金信息'!$A$6:$B$200,2,FALSE),"代码未找到"))</x:f>
      </x:c>
      <x:c r="E455" s="11"/>
      <x:c r="F455" s="12"/>
      <x:c r="G455" s="13"/>
      <x:c r="H455" s="13"/>
      <x:c r="I455" s="11"/>
      <x:c r="J455" s="11"/>
      <x:c r="K455" s="10" t="str">
        <x:f t="shared" si="7">IF(A455="","",IF(OR(E455="买入",E455="定投",E455="转换转入"),-(F455+I455),IF(OR(E455="卖出",E455="转换转出"),IF(J455&lt;&gt;"",J455,F455-I455),IF(E455="现金分红",J455,0))))</x:f>
      </x:c>
      <x:c r="L455" s="11"/>
      <x:c r="M455" s="14"/>
    </x:row>
    <x:row r="456" ht="21" customHeight="1">
      <x:c r="A456" s="7"/>
      <x:c r="B456" s="8"/>
      <x:c r="C456" s="9"/>
      <x:c r="D456" s="10" t="str">
        <x:f>IF(C456="","",IFERROR(VLOOKUP(C456,'基金信息'!$A$6:$B$200,2,FALSE),"代码未找到"))</x:f>
      </x:c>
      <x:c r="E456" s="11"/>
      <x:c r="F456" s="12"/>
      <x:c r="G456" s="13"/>
      <x:c r="H456" s="13"/>
      <x:c r="I456" s="11"/>
      <x:c r="J456" s="11"/>
      <x:c r="K456" s="10" t="str">
        <x:f t="shared" si="7">IF(A456="","",IF(OR(E456="买入",E456="定投",E456="转换转入"),-(F456+I456),IF(OR(E456="卖出",E456="转换转出"),IF(J456&lt;&gt;"",J456,F456-I456),IF(E456="现金分红",J456,0))))</x:f>
      </x:c>
      <x:c r="L456" s="11"/>
      <x:c r="M456" s="14"/>
    </x:row>
    <x:row r="457" ht="21" customHeight="1">
      <x:c r="A457" s="7"/>
      <x:c r="B457" s="8"/>
      <x:c r="C457" s="9"/>
      <x:c r="D457" s="10" t="str">
        <x:f>IF(C457="","",IFERROR(VLOOKUP(C457,'基金信息'!$A$6:$B$200,2,FALSE),"代码未找到"))</x:f>
      </x:c>
      <x:c r="E457" s="11"/>
      <x:c r="F457" s="12"/>
      <x:c r="G457" s="13"/>
      <x:c r="H457" s="13"/>
      <x:c r="I457" s="11"/>
      <x:c r="J457" s="11"/>
      <x:c r="K457" s="10" t="str">
        <x:f t="shared" si="7">IF(A457="","",IF(OR(E457="买入",E457="定投",E457="转换转入"),-(F457+I457),IF(OR(E457="卖出",E457="转换转出"),IF(J457&lt;&gt;"",J457,F457-I457),IF(E457="现金分红",J457,0))))</x:f>
      </x:c>
      <x:c r="L457" s="11"/>
      <x:c r="M457" s="14"/>
    </x:row>
    <x:row r="458" ht="21" customHeight="1">
      <x:c r="A458" s="7"/>
      <x:c r="B458" s="8"/>
      <x:c r="C458" s="9"/>
      <x:c r="D458" s="10" t="str">
        <x:f>IF(C458="","",IFERROR(VLOOKUP(C458,'基金信息'!$A$6:$B$200,2,FALSE),"代码未找到"))</x:f>
      </x:c>
      <x:c r="E458" s="11"/>
      <x:c r="F458" s="12"/>
      <x:c r="G458" s="13"/>
      <x:c r="H458" s="13"/>
      <x:c r="I458" s="11"/>
      <x:c r="J458" s="11"/>
      <x:c r="K458" s="10" t="str">
        <x:f t="shared" si="7">IF(A458="","",IF(OR(E458="买入",E458="定投",E458="转换转入"),-(F458+I458),IF(OR(E458="卖出",E458="转换转出"),IF(J458&lt;&gt;"",J458,F458-I458),IF(E458="现金分红",J458,0))))</x:f>
      </x:c>
      <x:c r="L458" s="11"/>
      <x:c r="M458" s="14"/>
    </x:row>
    <x:row r="459" ht="21" customHeight="1">
      <x:c r="A459" s="7"/>
      <x:c r="B459" s="8"/>
      <x:c r="C459" s="9"/>
      <x:c r="D459" s="10" t="str">
        <x:f>IF(C459="","",IFERROR(VLOOKUP(C459,'基金信息'!$A$6:$B$200,2,FALSE),"代码未找到"))</x:f>
      </x:c>
      <x:c r="E459" s="11"/>
      <x:c r="F459" s="12"/>
      <x:c r="G459" s="13"/>
      <x:c r="H459" s="13"/>
      <x:c r="I459" s="11"/>
      <x:c r="J459" s="11"/>
      <x:c r="K459" s="10" t="str">
        <x:f t="shared" si="7">IF(A459="","",IF(OR(E459="买入",E459="定投",E459="转换转入"),-(F459+I459),IF(OR(E459="卖出",E459="转换转出"),IF(J459&lt;&gt;"",J459,F459-I459),IF(E459="现金分红",J459,0))))</x:f>
      </x:c>
      <x:c r="L459" s="11"/>
      <x:c r="M459" s="14"/>
    </x:row>
    <x:row r="460" ht="21" customHeight="1">
      <x:c r="A460" s="7"/>
      <x:c r="B460" s="8"/>
      <x:c r="C460" s="9"/>
      <x:c r="D460" s="10" t="str">
        <x:f>IF(C460="","",IFERROR(VLOOKUP(C460,'基金信息'!$A$6:$B$200,2,FALSE),"代码未找到"))</x:f>
      </x:c>
      <x:c r="E460" s="11"/>
      <x:c r="F460" s="12"/>
      <x:c r="G460" s="13"/>
      <x:c r="H460" s="13"/>
      <x:c r="I460" s="11"/>
      <x:c r="J460" s="11"/>
      <x:c r="K460" s="10" t="str">
        <x:f t="shared" si="7">IF(A460="","",IF(OR(E460="买入",E460="定投",E460="转换转入"),-(F460+I460),IF(OR(E460="卖出",E460="转换转出"),IF(J460&lt;&gt;"",J460,F460-I460),IF(E460="现金分红",J460,0))))</x:f>
      </x:c>
      <x:c r="L460" s="11"/>
      <x:c r="M460" s="14"/>
    </x:row>
    <x:row r="461" ht="21" customHeight="1">
      <x:c r="A461" s="7"/>
      <x:c r="B461" s="8"/>
      <x:c r="C461" s="9"/>
      <x:c r="D461" s="10" t="str">
        <x:f>IF(C461="","",IFERROR(VLOOKUP(C461,'基金信息'!$A$6:$B$200,2,FALSE),"代码未找到"))</x:f>
      </x:c>
      <x:c r="E461" s="11"/>
      <x:c r="F461" s="12"/>
      <x:c r="G461" s="13"/>
      <x:c r="H461" s="13"/>
      <x:c r="I461" s="11"/>
      <x:c r="J461" s="11"/>
      <x:c r="K461" s="10" t="str">
        <x:f t="shared" si="7">IF(A461="","",IF(OR(E461="买入",E461="定投",E461="转换转入"),-(F461+I461),IF(OR(E461="卖出",E461="转换转出"),IF(J461&lt;&gt;"",J461,F461-I461),IF(E461="现金分红",J461,0))))</x:f>
      </x:c>
      <x:c r="L461" s="11"/>
      <x:c r="M461" s="14"/>
    </x:row>
    <x:row r="462" ht="21" customHeight="1">
      <x:c r="A462" s="7"/>
      <x:c r="B462" s="8"/>
      <x:c r="C462" s="9"/>
      <x:c r="D462" s="10" t="str">
        <x:f>IF(C462="","",IFERROR(VLOOKUP(C462,'基金信息'!$A$6:$B$200,2,FALSE),"代码未找到"))</x:f>
      </x:c>
      <x:c r="E462" s="11"/>
      <x:c r="F462" s="12"/>
      <x:c r="G462" s="13"/>
      <x:c r="H462" s="13"/>
      <x:c r="I462" s="11"/>
      <x:c r="J462" s="11"/>
      <x:c r="K462" s="10" t="str">
        <x:f t="shared" si="7">IF(A462="","",IF(OR(E462="买入",E462="定投",E462="转换转入"),-(F462+I462),IF(OR(E462="卖出",E462="转换转出"),IF(J462&lt;&gt;"",J462,F462-I462),IF(E462="现金分红",J462,0))))</x:f>
      </x:c>
      <x:c r="L462" s="11"/>
      <x:c r="M462" s="14"/>
    </x:row>
    <x:row r="463" ht="21" customHeight="1">
      <x:c r="A463" s="7"/>
      <x:c r="B463" s="8"/>
      <x:c r="C463" s="9"/>
      <x:c r="D463" s="10" t="str">
        <x:f>IF(C463="","",IFERROR(VLOOKUP(C463,'基金信息'!$A$6:$B$200,2,FALSE),"代码未找到"))</x:f>
      </x:c>
      <x:c r="E463" s="11"/>
      <x:c r="F463" s="12"/>
      <x:c r="G463" s="13"/>
      <x:c r="H463" s="13"/>
      <x:c r="I463" s="11"/>
      <x:c r="J463" s="11"/>
      <x:c r="K463" s="10" t="str">
        <x:f t="shared" si="7">IF(A463="","",IF(OR(E463="买入",E463="定投",E463="转换转入"),-(F463+I463),IF(OR(E463="卖出",E463="转换转出"),IF(J463&lt;&gt;"",J463,F463-I463),IF(E463="现金分红",J463,0))))</x:f>
      </x:c>
      <x:c r="L463" s="11"/>
      <x:c r="M463" s="14"/>
    </x:row>
    <x:row r="464" ht="21" customHeight="1">
      <x:c r="A464" s="7"/>
      <x:c r="B464" s="8"/>
      <x:c r="C464" s="9"/>
      <x:c r="D464" s="10" t="str">
        <x:f>IF(C464="","",IFERROR(VLOOKUP(C464,'基金信息'!$A$6:$B$200,2,FALSE),"代码未找到"))</x:f>
      </x:c>
      <x:c r="E464" s="11"/>
      <x:c r="F464" s="12"/>
      <x:c r="G464" s="13"/>
      <x:c r="H464" s="13"/>
      <x:c r="I464" s="11"/>
      <x:c r="J464" s="11"/>
      <x:c r="K464" s="10" t="str">
        <x:f t="shared" si="7">IF(A464="","",IF(OR(E464="买入",E464="定投",E464="转换转入"),-(F464+I464),IF(OR(E464="卖出",E464="转换转出"),IF(J464&lt;&gt;"",J464,F464-I464),IF(E464="现金分红",J464,0))))</x:f>
      </x:c>
      <x:c r="L464" s="11"/>
      <x:c r="M464" s="14"/>
    </x:row>
    <x:row r="465" ht="21" customHeight="1">
      <x:c r="A465" s="7"/>
      <x:c r="B465" s="8"/>
      <x:c r="C465" s="9"/>
      <x:c r="D465" s="10" t="str">
        <x:f>IF(C465="","",IFERROR(VLOOKUP(C465,'基金信息'!$A$6:$B$200,2,FALSE),"代码未找到"))</x:f>
      </x:c>
      <x:c r="E465" s="11"/>
      <x:c r="F465" s="12"/>
      <x:c r="G465" s="13"/>
      <x:c r="H465" s="13"/>
      <x:c r="I465" s="11"/>
      <x:c r="J465" s="11"/>
      <x:c r="K465" s="10" t="str">
        <x:f t="shared" si="7">IF(A465="","",IF(OR(E465="买入",E465="定投",E465="转换转入"),-(F465+I465),IF(OR(E465="卖出",E465="转换转出"),IF(J465&lt;&gt;"",J465,F465-I465),IF(E465="现金分红",J465,0))))</x:f>
      </x:c>
      <x:c r="L465" s="11"/>
      <x:c r="M465" s="14"/>
    </x:row>
    <x:row r="466" ht="21" customHeight="1">
      <x:c r="A466" s="7"/>
      <x:c r="B466" s="8"/>
      <x:c r="C466" s="9"/>
      <x:c r="D466" s="10" t="str">
        <x:f>IF(C466="","",IFERROR(VLOOKUP(C466,'基金信息'!$A$6:$B$200,2,FALSE),"代码未找到"))</x:f>
      </x:c>
      <x:c r="E466" s="11"/>
      <x:c r="F466" s="12"/>
      <x:c r="G466" s="13"/>
      <x:c r="H466" s="13"/>
      <x:c r="I466" s="11"/>
      <x:c r="J466" s="11"/>
      <x:c r="K466" s="10" t="str">
        <x:f t="shared" si="7">IF(A466="","",IF(OR(E466="买入",E466="定投",E466="转换转入"),-(F466+I466),IF(OR(E466="卖出",E466="转换转出"),IF(J466&lt;&gt;"",J466,F466-I466),IF(E466="现金分红",J466,0))))</x:f>
      </x:c>
      <x:c r="L466" s="11"/>
      <x:c r="M466" s="14"/>
    </x:row>
    <x:row r="467" ht="21" customHeight="1">
      <x:c r="A467" s="7"/>
      <x:c r="B467" s="8"/>
      <x:c r="C467" s="9"/>
      <x:c r="D467" s="10" t="str">
        <x:f>IF(C467="","",IFERROR(VLOOKUP(C467,'基金信息'!$A$6:$B$200,2,FALSE),"代码未找到"))</x:f>
      </x:c>
      <x:c r="E467" s="11"/>
      <x:c r="F467" s="12"/>
      <x:c r="G467" s="13"/>
      <x:c r="H467" s="13"/>
      <x:c r="I467" s="11"/>
      <x:c r="J467" s="11"/>
      <x:c r="K467" s="10" t="str">
        <x:f t="shared" si="7">IF(A467="","",IF(OR(E467="买入",E467="定投",E467="转换转入"),-(F467+I467),IF(OR(E467="卖出",E467="转换转出"),IF(J467&lt;&gt;"",J467,F467-I467),IF(E467="现金分红",J467,0))))</x:f>
      </x:c>
      <x:c r="L467" s="11"/>
      <x:c r="M467" s="14"/>
    </x:row>
    <x:row r="468" ht="21" customHeight="1">
      <x:c r="A468" s="7"/>
      <x:c r="B468" s="8"/>
      <x:c r="C468" s="9"/>
      <x:c r="D468" s="10" t="str">
        <x:f>IF(C468="","",IFERROR(VLOOKUP(C468,'基金信息'!$A$6:$B$200,2,FALSE),"代码未找到"))</x:f>
      </x:c>
      <x:c r="E468" s="11"/>
      <x:c r="F468" s="12"/>
      <x:c r="G468" s="13"/>
      <x:c r="H468" s="13"/>
      <x:c r="I468" s="11"/>
      <x:c r="J468" s="11"/>
      <x:c r="K468" s="10" t="str">
        <x:f t="shared" si="7">IF(A468="","",IF(OR(E468="买入",E468="定投",E468="转换转入"),-(F468+I468),IF(OR(E468="卖出",E468="转换转出"),IF(J468&lt;&gt;"",J468,F468-I468),IF(E468="现金分红",J468,0))))</x:f>
      </x:c>
      <x:c r="L468" s="11"/>
      <x:c r="M468" s="14"/>
    </x:row>
    <x:row r="469" ht="21" customHeight="1">
      <x:c r="A469" s="7"/>
      <x:c r="B469" s="8"/>
      <x:c r="C469" s="9"/>
      <x:c r="D469" s="10" t="str">
        <x:f>IF(C469="","",IFERROR(VLOOKUP(C469,'基金信息'!$A$6:$B$200,2,FALSE),"代码未找到"))</x:f>
      </x:c>
      <x:c r="E469" s="11"/>
      <x:c r="F469" s="12"/>
      <x:c r="G469" s="13"/>
      <x:c r="H469" s="13"/>
      <x:c r="I469" s="11"/>
      <x:c r="J469" s="11"/>
      <x:c r="K469" s="10" t="str">
        <x:f t="shared" si="7">IF(A469="","",IF(OR(E469="买入",E469="定投",E469="转换转入"),-(F469+I469),IF(OR(E469="卖出",E469="转换转出"),IF(J469&lt;&gt;"",J469,F469-I469),IF(E469="现金分红",J469,0))))</x:f>
      </x:c>
      <x:c r="L469" s="11"/>
      <x:c r="M469" s="14"/>
    </x:row>
    <x:row r="470" ht="21" customHeight="1">
      <x:c r="A470" s="7"/>
      <x:c r="B470" s="8"/>
      <x:c r="C470" s="9"/>
      <x:c r="D470" s="10" t="str">
        <x:f>IF(C470="","",IFERROR(VLOOKUP(C470,'基金信息'!$A$6:$B$200,2,FALSE),"代码未找到"))</x:f>
      </x:c>
      <x:c r="E470" s="11"/>
      <x:c r="F470" s="12"/>
      <x:c r="G470" s="13"/>
      <x:c r="H470" s="13"/>
      <x:c r="I470" s="11"/>
      <x:c r="J470" s="11"/>
      <x:c r="K470" s="10" t="str">
        <x:f t="shared" si="7">IF(A470="","",IF(OR(E470="买入",E470="定投",E470="转换转入"),-(F470+I470),IF(OR(E470="卖出",E470="转换转出"),IF(J470&lt;&gt;"",J470,F470-I470),IF(E470="现金分红",J470,0))))</x:f>
      </x:c>
      <x:c r="L470" s="11"/>
      <x:c r="M470" s="14"/>
    </x:row>
    <x:row r="471" ht="21" customHeight="1">
      <x:c r="A471" s="7"/>
      <x:c r="B471" s="8"/>
      <x:c r="C471" s="9"/>
      <x:c r="D471" s="10" t="str">
        <x:f>IF(C471="","",IFERROR(VLOOKUP(C471,'基金信息'!$A$6:$B$200,2,FALSE),"代码未找到"))</x:f>
      </x:c>
      <x:c r="E471" s="11"/>
      <x:c r="F471" s="12"/>
      <x:c r="G471" s="13"/>
      <x:c r="H471" s="13"/>
      <x:c r="I471" s="11"/>
      <x:c r="J471" s="11"/>
      <x:c r="K471" s="10" t="str">
        <x:f t="shared" si="7">IF(A471="","",IF(OR(E471="买入",E471="定投",E471="转换转入"),-(F471+I471),IF(OR(E471="卖出",E471="转换转出"),IF(J471&lt;&gt;"",J471,F471-I471),IF(E471="现金分红",J471,0))))</x:f>
      </x:c>
      <x:c r="L471" s="11"/>
      <x:c r="M471" s="14"/>
    </x:row>
    <x:row r="472" ht="21" customHeight="1">
      <x:c r="A472" s="7"/>
      <x:c r="B472" s="8"/>
      <x:c r="C472" s="9"/>
      <x:c r="D472" s="10" t="str">
        <x:f>IF(C472="","",IFERROR(VLOOKUP(C472,'基金信息'!$A$6:$B$200,2,FALSE),"代码未找到"))</x:f>
      </x:c>
      <x:c r="E472" s="11"/>
      <x:c r="F472" s="12"/>
      <x:c r="G472" s="13"/>
      <x:c r="H472" s="13"/>
      <x:c r="I472" s="11"/>
      <x:c r="J472" s="11"/>
      <x:c r="K472" s="10" t="str">
        <x:f t="shared" si="7">IF(A472="","",IF(OR(E472="买入",E472="定投",E472="转换转入"),-(F472+I472),IF(OR(E472="卖出",E472="转换转出"),IF(J472&lt;&gt;"",J472,F472-I472),IF(E472="现金分红",J472,0))))</x:f>
      </x:c>
      <x:c r="L472" s="11"/>
      <x:c r="M472" s="14"/>
    </x:row>
    <x:row r="473" ht="21" customHeight="1">
      <x:c r="A473" s="7"/>
      <x:c r="B473" s="8"/>
      <x:c r="C473" s="9"/>
      <x:c r="D473" s="10" t="str">
        <x:f>IF(C473="","",IFERROR(VLOOKUP(C473,'基金信息'!$A$6:$B$200,2,FALSE),"代码未找到"))</x:f>
      </x:c>
      <x:c r="E473" s="11"/>
      <x:c r="F473" s="12"/>
      <x:c r="G473" s="13"/>
      <x:c r="H473" s="13"/>
      <x:c r="I473" s="11"/>
      <x:c r="J473" s="11"/>
      <x:c r="K473" s="10" t="str">
        <x:f t="shared" si="7">IF(A473="","",IF(OR(E473="买入",E473="定投",E473="转换转入"),-(F473+I473),IF(OR(E473="卖出",E473="转换转出"),IF(J473&lt;&gt;"",J473,F473-I473),IF(E473="现金分红",J473,0))))</x:f>
      </x:c>
      <x:c r="L473" s="11"/>
      <x:c r="M473" s="14"/>
    </x:row>
    <x:row r="474" ht="21" customHeight="1">
      <x:c r="A474" s="7"/>
      <x:c r="B474" s="8"/>
      <x:c r="C474" s="9"/>
      <x:c r="D474" s="10" t="str">
        <x:f>IF(C474="","",IFERROR(VLOOKUP(C474,'基金信息'!$A$6:$B$200,2,FALSE),"代码未找到"))</x:f>
      </x:c>
      <x:c r="E474" s="11"/>
      <x:c r="F474" s="12"/>
      <x:c r="G474" s="13"/>
      <x:c r="H474" s="13"/>
      <x:c r="I474" s="11"/>
      <x:c r="J474" s="11"/>
      <x:c r="K474" s="10" t="str">
        <x:f t="shared" si="7">IF(A474="","",IF(OR(E474="买入",E474="定投",E474="转换转入"),-(F474+I474),IF(OR(E474="卖出",E474="转换转出"),IF(J474&lt;&gt;"",J474,F474-I474),IF(E474="现金分红",J474,0))))</x:f>
      </x:c>
      <x:c r="L474" s="11"/>
      <x:c r="M474" s="14"/>
    </x:row>
    <x:row r="475" ht="21" customHeight="1">
      <x:c r="A475" s="7"/>
      <x:c r="B475" s="8"/>
      <x:c r="C475" s="9"/>
      <x:c r="D475" s="10" t="str">
        <x:f>IF(C475="","",IFERROR(VLOOKUP(C475,'基金信息'!$A$6:$B$200,2,FALSE),"代码未找到"))</x:f>
      </x:c>
      <x:c r="E475" s="11"/>
      <x:c r="F475" s="12"/>
      <x:c r="G475" s="13"/>
      <x:c r="H475" s="13"/>
      <x:c r="I475" s="11"/>
      <x:c r="J475" s="11"/>
      <x:c r="K475" s="10" t="str">
        <x:f t="shared" si="7">IF(A475="","",IF(OR(E475="买入",E475="定投",E475="转换转入"),-(F475+I475),IF(OR(E475="卖出",E475="转换转出"),IF(J475&lt;&gt;"",J475,F475-I475),IF(E475="现金分红",J475,0))))</x:f>
      </x:c>
      <x:c r="L475" s="11"/>
      <x:c r="M475" s="14"/>
    </x:row>
    <x:row r="476" ht="21" customHeight="1">
      <x:c r="A476" s="7"/>
      <x:c r="B476" s="8"/>
      <x:c r="C476" s="9"/>
      <x:c r="D476" s="10" t="str">
        <x:f>IF(C476="","",IFERROR(VLOOKUP(C476,'基金信息'!$A$6:$B$200,2,FALSE),"代码未找到"))</x:f>
      </x:c>
      <x:c r="E476" s="11"/>
      <x:c r="F476" s="12"/>
      <x:c r="G476" s="13"/>
      <x:c r="H476" s="13"/>
      <x:c r="I476" s="11"/>
      <x:c r="J476" s="11"/>
      <x:c r="K476" s="10" t="str">
        <x:f t="shared" si="7">IF(A476="","",IF(OR(E476="买入",E476="定投",E476="转换转入"),-(F476+I476),IF(OR(E476="卖出",E476="转换转出"),IF(J476&lt;&gt;"",J476,F476-I476),IF(E476="现金分红",J476,0))))</x:f>
      </x:c>
      <x:c r="L476" s="11"/>
      <x:c r="M476" s="14"/>
    </x:row>
    <x:row r="477" ht="21" customHeight="1">
      <x:c r="A477" s="7"/>
      <x:c r="B477" s="8"/>
      <x:c r="C477" s="9"/>
      <x:c r="D477" s="10" t="str">
        <x:f>IF(C477="","",IFERROR(VLOOKUP(C477,'基金信息'!$A$6:$B$200,2,FALSE),"代码未找到"))</x:f>
      </x:c>
      <x:c r="E477" s="11"/>
      <x:c r="F477" s="12"/>
      <x:c r="G477" s="13"/>
      <x:c r="H477" s="13"/>
      <x:c r="I477" s="11"/>
      <x:c r="J477" s="11"/>
      <x:c r="K477" s="10" t="str">
        <x:f t="shared" si="7">IF(A477="","",IF(OR(E477="买入",E477="定投",E477="转换转入"),-(F477+I477),IF(OR(E477="卖出",E477="转换转出"),IF(J477&lt;&gt;"",J477,F477-I477),IF(E477="现金分红",J477,0))))</x:f>
      </x:c>
      <x:c r="L477" s="11"/>
      <x:c r="M477" s="14"/>
    </x:row>
    <x:row r="478" ht="21" customHeight="1">
      <x:c r="A478" s="7"/>
      <x:c r="B478" s="8"/>
      <x:c r="C478" s="9"/>
      <x:c r="D478" s="10" t="str">
        <x:f>IF(C478="","",IFERROR(VLOOKUP(C478,'基金信息'!$A$6:$B$200,2,FALSE),"代码未找到"))</x:f>
      </x:c>
      <x:c r="E478" s="11"/>
      <x:c r="F478" s="12"/>
      <x:c r="G478" s="13"/>
      <x:c r="H478" s="13"/>
      <x:c r="I478" s="11"/>
      <x:c r="J478" s="11"/>
      <x:c r="K478" s="10" t="str">
        <x:f t="shared" si="7">IF(A478="","",IF(OR(E478="买入",E478="定投",E478="转换转入"),-(F478+I478),IF(OR(E478="卖出",E478="转换转出"),IF(J478&lt;&gt;"",J478,F478-I478),IF(E478="现金分红",J478,0))))</x:f>
      </x:c>
      <x:c r="L478" s="11"/>
      <x:c r="M478" s="14"/>
    </x:row>
    <x:row r="479" ht="21" customHeight="1">
      <x:c r="A479" s="7"/>
      <x:c r="B479" s="8"/>
      <x:c r="C479" s="9"/>
      <x:c r="D479" s="10" t="str">
        <x:f>IF(C479="","",IFERROR(VLOOKUP(C479,'基金信息'!$A$6:$B$200,2,FALSE),"代码未找到"))</x:f>
      </x:c>
      <x:c r="E479" s="11"/>
      <x:c r="F479" s="12"/>
      <x:c r="G479" s="13"/>
      <x:c r="H479" s="13"/>
      <x:c r="I479" s="11"/>
      <x:c r="J479" s="11"/>
      <x:c r="K479" s="10" t="str">
        <x:f t="shared" si="7">IF(A479="","",IF(OR(E479="买入",E479="定投",E479="转换转入"),-(F479+I479),IF(OR(E479="卖出",E479="转换转出"),IF(J479&lt;&gt;"",J479,F479-I479),IF(E479="现金分红",J479,0))))</x:f>
      </x:c>
      <x:c r="L479" s="11"/>
      <x:c r="M479" s="14"/>
    </x:row>
    <x:row r="480" ht="21" customHeight="1">
      <x:c r="A480" s="7"/>
      <x:c r="B480" s="8"/>
      <x:c r="C480" s="9"/>
      <x:c r="D480" s="10" t="str">
        <x:f>IF(C480="","",IFERROR(VLOOKUP(C480,'基金信息'!$A$6:$B$200,2,FALSE),"代码未找到"))</x:f>
      </x:c>
      <x:c r="E480" s="11"/>
      <x:c r="F480" s="12"/>
      <x:c r="G480" s="13"/>
      <x:c r="H480" s="13"/>
      <x:c r="I480" s="11"/>
      <x:c r="J480" s="11"/>
      <x:c r="K480" s="10" t="str">
        <x:f t="shared" si="7">IF(A480="","",IF(OR(E480="买入",E480="定投",E480="转换转入"),-(F480+I480),IF(OR(E480="卖出",E480="转换转出"),IF(J480&lt;&gt;"",J480,F480-I480),IF(E480="现金分红",J480,0))))</x:f>
      </x:c>
      <x:c r="L480" s="11"/>
      <x:c r="M480" s="14"/>
    </x:row>
    <x:row r="481" ht="21" customHeight="1">
      <x:c r="A481" s="7"/>
      <x:c r="B481" s="8"/>
      <x:c r="C481" s="9"/>
      <x:c r="D481" s="10" t="str">
        <x:f>IF(C481="","",IFERROR(VLOOKUP(C481,'基金信息'!$A$6:$B$200,2,FALSE),"代码未找到"))</x:f>
      </x:c>
      <x:c r="E481" s="11"/>
      <x:c r="F481" s="12"/>
      <x:c r="G481" s="13"/>
      <x:c r="H481" s="13"/>
      <x:c r="I481" s="11"/>
      <x:c r="J481" s="11"/>
      <x:c r="K481" s="10" t="str">
        <x:f t="shared" si="7">IF(A481="","",IF(OR(E481="买入",E481="定投",E481="转换转入"),-(F481+I481),IF(OR(E481="卖出",E481="转换转出"),IF(J481&lt;&gt;"",J481,F481-I481),IF(E481="现金分红",J481,0))))</x:f>
      </x:c>
      <x:c r="L481" s="11"/>
      <x:c r="M481" s="14"/>
    </x:row>
    <x:row r="482" ht="21" customHeight="1">
      <x:c r="A482" s="7"/>
      <x:c r="B482" s="8"/>
      <x:c r="C482" s="9"/>
      <x:c r="D482" s="10" t="str">
        <x:f>IF(C482="","",IFERROR(VLOOKUP(C482,'基金信息'!$A$6:$B$200,2,FALSE),"代码未找到"))</x:f>
      </x:c>
      <x:c r="E482" s="11"/>
      <x:c r="F482" s="12"/>
      <x:c r="G482" s="13"/>
      <x:c r="H482" s="13"/>
      <x:c r="I482" s="11"/>
      <x:c r="J482" s="11"/>
      <x:c r="K482" s="10" t="str">
        <x:f t="shared" si="7">IF(A482="","",IF(OR(E482="买入",E482="定投",E482="转换转入"),-(F482+I482),IF(OR(E482="卖出",E482="转换转出"),IF(J482&lt;&gt;"",J482,F482-I482),IF(E482="现金分红",J482,0))))</x:f>
      </x:c>
      <x:c r="L482" s="11"/>
      <x:c r="M482" s="14"/>
    </x:row>
    <x:row r="483" ht="21" customHeight="1">
      <x:c r="A483" s="7"/>
      <x:c r="B483" s="8"/>
      <x:c r="C483" s="9"/>
      <x:c r="D483" s="10" t="str">
        <x:f>IF(C483="","",IFERROR(VLOOKUP(C483,'基金信息'!$A$6:$B$200,2,FALSE),"代码未找到"))</x:f>
      </x:c>
      <x:c r="E483" s="11"/>
      <x:c r="F483" s="12"/>
      <x:c r="G483" s="13"/>
      <x:c r="H483" s="13"/>
      <x:c r="I483" s="11"/>
      <x:c r="J483" s="11"/>
      <x:c r="K483" s="10" t="str">
        <x:f t="shared" si="7">IF(A483="","",IF(OR(E483="买入",E483="定投",E483="转换转入"),-(F483+I483),IF(OR(E483="卖出",E483="转换转出"),IF(J483&lt;&gt;"",J483,F483-I483),IF(E483="现金分红",J483,0))))</x:f>
      </x:c>
      <x:c r="L483" s="11"/>
      <x:c r="M483" s="14"/>
    </x:row>
    <x:row r="484" ht="21" customHeight="1">
      <x:c r="A484" s="7"/>
      <x:c r="B484" s="8"/>
      <x:c r="C484" s="9"/>
      <x:c r="D484" s="10" t="str">
        <x:f>IF(C484="","",IFERROR(VLOOKUP(C484,'基金信息'!$A$6:$B$200,2,FALSE),"代码未找到"))</x:f>
      </x:c>
      <x:c r="E484" s="11"/>
      <x:c r="F484" s="12"/>
      <x:c r="G484" s="13"/>
      <x:c r="H484" s="13"/>
      <x:c r="I484" s="11"/>
      <x:c r="J484" s="11"/>
      <x:c r="K484" s="10" t="str">
        <x:f t="shared" si="7">IF(A484="","",IF(OR(E484="买入",E484="定投",E484="转换转入"),-(F484+I484),IF(OR(E484="卖出",E484="转换转出"),IF(J484&lt;&gt;"",J484,F484-I484),IF(E484="现金分红",J484,0))))</x:f>
      </x:c>
      <x:c r="L484" s="11"/>
      <x:c r="M484" s="14"/>
    </x:row>
    <x:row r="485" ht="21" customHeight="1">
      <x:c r="A485" s="7"/>
      <x:c r="B485" s="8"/>
      <x:c r="C485" s="9"/>
      <x:c r="D485" s="10" t="str">
        <x:f>IF(C485="","",IFERROR(VLOOKUP(C485,'基金信息'!$A$6:$B$200,2,FALSE),"代码未找到"))</x:f>
      </x:c>
      <x:c r="E485" s="11"/>
      <x:c r="F485" s="12"/>
      <x:c r="G485" s="13"/>
      <x:c r="H485" s="13"/>
      <x:c r="I485" s="11"/>
      <x:c r="J485" s="11"/>
      <x:c r="K485" s="10" t="str">
        <x:f t="shared" si="7">IF(A485="","",IF(OR(E485="买入",E485="定投",E485="转换转入"),-(F485+I485),IF(OR(E485="卖出",E485="转换转出"),IF(J485&lt;&gt;"",J485,F485-I485),IF(E485="现金分红",J485,0))))</x:f>
      </x:c>
      <x:c r="L485" s="11"/>
      <x:c r="M485" s="14"/>
    </x:row>
    <x:row r="486" ht="21" customHeight="1">
      <x:c r="A486" s="7"/>
      <x:c r="B486" s="8"/>
      <x:c r="C486" s="9"/>
      <x:c r="D486" s="10" t="str">
        <x:f>IF(C486="","",IFERROR(VLOOKUP(C486,'基金信息'!$A$6:$B$200,2,FALSE),"代码未找到"))</x:f>
      </x:c>
      <x:c r="E486" s="11"/>
      <x:c r="F486" s="12"/>
      <x:c r="G486" s="13"/>
      <x:c r="H486" s="13"/>
      <x:c r="I486" s="11"/>
      <x:c r="J486" s="11"/>
      <x:c r="K486" s="10" t="str">
        <x:f t="shared" si="7">IF(A486="","",IF(OR(E486="买入",E486="定投",E486="转换转入"),-(F486+I486),IF(OR(E486="卖出",E486="转换转出"),IF(J486&lt;&gt;"",J486,F486-I486),IF(E486="现金分红",J486,0))))</x:f>
      </x:c>
      <x:c r="L486" s="11"/>
      <x:c r="M486" s="14"/>
    </x:row>
    <x:row r="487" ht="21" customHeight="1">
      <x:c r="A487" s="7"/>
      <x:c r="B487" s="8"/>
      <x:c r="C487" s="9"/>
      <x:c r="D487" s="10" t="str">
        <x:f>IF(C487="","",IFERROR(VLOOKUP(C487,'基金信息'!$A$6:$B$200,2,FALSE),"代码未找到"))</x:f>
      </x:c>
      <x:c r="E487" s="11"/>
      <x:c r="F487" s="12"/>
      <x:c r="G487" s="13"/>
      <x:c r="H487" s="13"/>
      <x:c r="I487" s="11"/>
      <x:c r="J487" s="11"/>
      <x:c r="K487" s="10" t="str">
        <x:f t="shared" si="7">IF(A487="","",IF(OR(E487="买入",E487="定投",E487="转换转入"),-(F487+I487),IF(OR(E487="卖出",E487="转换转出"),IF(J487&lt;&gt;"",J487,F487-I487),IF(E487="现金分红",J487,0))))</x:f>
      </x:c>
      <x:c r="L487" s="11"/>
      <x:c r="M487" s="14"/>
    </x:row>
    <x:row r="488" ht="21" customHeight="1">
      <x:c r="A488" s="7"/>
      <x:c r="B488" s="8"/>
      <x:c r="C488" s="9"/>
      <x:c r="D488" s="10" t="str">
        <x:f>IF(C488="","",IFERROR(VLOOKUP(C488,'基金信息'!$A$6:$B$200,2,FALSE),"代码未找到"))</x:f>
      </x:c>
      <x:c r="E488" s="11"/>
      <x:c r="F488" s="12"/>
      <x:c r="G488" s="13"/>
      <x:c r="H488" s="13"/>
      <x:c r="I488" s="11"/>
      <x:c r="J488" s="11"/>
      <x:c r="K488" s="10" t="str">
        <x:f t="shared" si="7">IF(A488="","",IF(OR(E488="买入",E488="定投",E488="转换转入"),-(F488+I488),IF(OR(E488="卖出",E488="转换转出"),IF(J488&lt;&gt;"",J488,F488-I488),IF(E488="现金分红",J488,0))))</x:f>
      </x:c>
      <x:c r="L488" s="11"/>
      <x:c r="M488" s="14"/>
    </x:row>
    <x:row r="489" ht="21" customHeight="1">
      <x:c r="A489" s="7"/>
      <x:c r="B489" s="8"/>
      <x:c r="C489" s="9"/>
      <x:c r="D489" s="10" t="str">
        <x:f>IF(C489="","",IFERROR(VLOOKUP(C489,'基金信息'!$A$6:$B$200,2,FALSE),"代码未找到"))</x:f>
      </x:c>
      <x:c r="E489" s="11"/>
      <x:c r="F489" s="12"/>
      <x:c r="G489" s="13"/>
      <x:c r="H489" s="13"/>
      <x:c r="I489" s="11"/>
      <x:c r="J489" s="11"/>
      <x:c r="K489" s="10" t="str">
        <x:f t="shared" si="7">IF(A489="","",IF(OR(E489="买入",E489="定投",E489="转换转入"),-(F489+I489),IF(OR(E489="卖出",E489="转换转出"),IF(J489&lt;&gt;"",J489,F489-I489),IF(E489="现金分红",J489,0))))</x:f>
      </x:c>
      <x:c r="L489" s="11"/>
      <x:c r="M489" s="14"/>
    </x:row>
    <x:row r="490" ht="21" customHeight="1">
      <x:c r="A490" s="7"/>
      <x:c r="B490" s="8"/>
      <x:c r="C490" s="9"/>
      <x:c r="D490" s="10" t="str">
        <x:f>IF(C490="","",IFERROR(VLOOKUP(C490,'基金信息'!$A$6:$B$200,2,FALSE),"代码未找到"))</x:f>
      </x:c>
      <x:c r="E490" s="11"/>
      <x:c r="F490" s="12"/>
      <x:c r="G490" s="13"/>
      <x:c r="H490" s="13"/>
      <x:c r="I490" s="11"/>
      <x:c r="J490" s="11"/>
      <x:c r="K490" s="10" t="str">
        <x:f t="shared" si="7">IF(A490="","",IF(OR(E490="买入",E490="定投",E490="转换转入"),-(F490+I490),IF(OR(E490="卖出",E490="转换转出"),IF(J490&lt;&gt;"",J490,F490-I490),IF(E490="现金分红",J490,0))))</x:f>
      </x:c>
      <x:c r="L490" s="11"/>
      <x:c r="M490" s="14"/>
    </x:row>
    <x:row r="491" ht="21" customHeight="1">
      <x:c r="A491" s="7"/>
      <x:c r="B491" s="8"/>
      <x:c r="C491" s="9"/>
      <x:c r="D491" s="10" t="str">
        <x:f>IF(C491="","",IFERROR(VLOOKUP(C491,'基金信息'!$A$6:$B$200,2,FALSE),"代码未找到"))</x:f>
      </x:c>
      <x:c r="E491" s="11"/>
      <x:c r="F491" s="12"/>
      <x:c r="G491" s="13"/>
      <x:c r="H491" s="13"/>
      <x:c r="I491" s="11"/>
      <x:c r="J491" s="11"/>
      <x:c r="K491" s="10" t="str">
        <x:f t="shared" si="7">IF(A491="","",IF(OR(E491="买入",E491="定投",E491="转换转入"),-(F491+I491),IF(OR(E491="卖出",E491="转换转出"),IF(J491&lt;&gt;"",J491,F491-I491),IF(E491="现金分红",J491,0))))</x:f>
      </x:c>
      <x:c r="L491" s="11"/>
      <x:c r="M491" s="14"/>
    </x:row>
    <x:row r="492" ht="21" customHeight="1">
      <x:c r="A492" s="7"/>
      <x:c r="B492" s="8"/>
      <x:c r="C492" s="9"/>
      <x:c r="D492" s="10" t="str">
        <x:f>IF(C492="","",IFERROR(VLOOKUP(C492,'基金信息'!$A$6:$B$200,2,FALSE),"代码未找到"))</x:f>
      </x:c>
      <x:c r="E492" s="11"/>
      <x:c r="F492" s="12"/>
      <x:c r="G492" s="13"/>
      <x:c r="H492" s="13"/>
      <x:c r="I492" s="11"/>
      <x:c r="J492" s="11"/>
      <x:c r="K492" s="10" t="str">
        <x:f t="shared" si="7">IF(A492="","",IF(OR(E492="买入",E492="定投",E492="转换转入"),-(F492+I492),IF(OR(E492="卖出",E492="转换转出"),IF(J492&lt;&gt;"",J492,F492-I492),IF(E492="现金分红",J492,0))))</x:f>
      </x:c>
      <x:c r="L492" s="11"/>
      <x:c r="M492" s="14"/>
    </x:row>
    <x:row r="493" ht="21" customHeight="1">
      <x:c r="A493" s="7"/>
      <x:c r="B493" s="8"/>
      <x:c r="C493" s="9"/>
      <x:c r="D493" s="10" t="str">
        <x:f>IF(C493="","",IFERROR(VLOOKUP(C493,'基金信息'!$A$6:$B$200,2,FALSE),"代码未找到"))</x:f>
      </x:c>
      <x:c r="E493" s="11"/>
      <x:c r="F493" s="12"/>
      <x:c r="G493" s="13"/>
      <x:c r="H493" s="13"/>
      <x:c r="I493" s="11"/>
      <x:c r="J493" s="11"/>
      <x:c r="K493" s="10" t="str">
        <x:f t="shared" si="7">IF(A493="","",IF(OR(E493="买入",E493="定投",E493="转换转入"),-(F493+I493),IF(OR(E493="卖出",E493="转换转出"),IF(J493&lt;&gt;"",J493,F493-I493),IF(E493="现金分红",J493,0))))</x:f>
      </x:c>
      <x:c r="L493" s="11"/>
      <x:c r="M493" s="14"/>
    </x:row>
    <x:row r="494" ht="21" customHeight="1">
      <x:c r="A494" s="7"/>
      <x:c r="B494" s="8"/>
      <x:c r="C494" s="9"/>
      <x:c r="D494" s="10" t="str">
        <x:f>IF(C494="","",IFERROR(VLOOKUP(C494,'基金信息'!$A$6:$B$200,2,FALSE),"代码未找到"))</x:f>
      </x:c>
      <x:c r="E494" s="11"/>
      <x:c r="F494" s="12"/>
      <x:c r="G494" s="13"/>
      <x:c r="H494" s="13"/>
      <x:c r="I494" s="11"/>
      <x:c r="J494" s="11"/>
      <x:c r="K494" s="10" t="str">
        <x:f t="shared" si="7">IF(A494="","",IF(OR(E494="买入",E494="定投",E494="转换转入"),-(F494+I494),IF(OR(E494="卖出",E494="转换转出"),IF(J494&lt;&gt;"",J494,F494-I494),IF(E494="现金分红",J494,0))))</x:f>
      </x:c>
      <x:c r="L494" s="11"/>
      <x:c r="M494" s="14"/>
    </x:row>
    <x:row r="495" ht="21" customHeight="1">
      <x:c r="A495" s="7"/>
      <x:c r="B495" s="8"/>
      <x:c r="C495" s="9"/>
      <x:c r="D495" s="10" t="str">
        <x:f>IF(C495="","",IFERROR(VLOOKUP(C495,'基金信息'!$A$6:$B$200,2,FALSE),"代码未找到"))</x:f>
      </x:c>
      <x:c r="E495" s="11"/>
      <x:c r="F495" s="12"/>
      <x:c r="G495" s="13"/>
      <x:c r="H495" s="13"/>
      <x:c r="I495" s="11"/>
      <x:c r="J495" s="11"/>
      <x:c r="K495" s="10" t="str">
        <x:f t="shared" si="7">IF(A495="","",IF(OR(E495="买入",E495="定投",E495="转换转入"),-(F495+I495),IF(OR(E495="卖出",E495="转换转出"),IF(J495&lt;&gt;"",J495,F495-I495),IF(E495="现金分红",J495,0))))</x:f>
      </x:c>
      <x:c r="L495" s="11"/>
      <x:c r="M495" s="14"/>
    </x:row>
    <x:row r="496" ht="21" customHeight="1">
      <x:c r="A496" s="7"/>
      <x:c r="B496" s="8"/>
      <x:c r="C496" s="9"/>
      <x:c r="D496" s="10" t="str">
        <x:f>IF(C496="","",IFERROR(VLOOKUP(C496,'基金信息'!$A$6:$B$200,2,FALSE),"代码未找到"))</x:f>
      </x:c>
      <x:c r="E496" s="11"/>
      <x:c r="F496" s="12"/>
      <x:c r="G496" s="13"/>
      <x:c r="H496" s="13"/>
      <x:c r="I496" s="11"/>
      <x:c r="J496" s="11"/>
      <x:c r="K496" s="10" t="str">
        <x:f t="shared" si="7">IF(A496="","",IF(OR(E496="买入",E496="定投",E496="转换转入"),-(F496+I496),IF(OR(E496="卖出",E496="转换转出"),IF(J496&lt;&gt;"",J496,F496-I496),IF(E496="现金分红",J496,0))))</x:f>
      </x:c>
      <x:c r="L496" s="11"/>
      <x:c r="M496" s="14"/>
    </x:row>
    <x:row r="497" ht="21" customHeight="1">
      <x:c r="A497" s="7"/>
      <x:c r="B497" s="8"/>
      <x:c r="C497" s="9"/>
      <x:c r="D497" s="10" t="str">
        <x:f>IF(C497="","",IFERROR(VLOOKUP(C497,'基金信息'!$A$6:$B$200,2,FALSE),"代码未找到"))</x:f>
      </x:c>
      <x:c r="E497" s="11"/>
      <x:c r="F497" s="12"/>
      <x:c r="G497" s="13"/>
      <x:c r="H497" s="13"/>
      <x:c r="I497" s="11"/>
      <x:c r="J497" s="11"/>
      <x:c r="K497" s="10" t="str">
        <x:f t="shared" si="7">IF(A497="","",IF(OR(E497="买入",E497="定投",E497="转换转入"),-(F497+I497),IF(OR(E497="卖出",E497="转换转出"),IF(J497&lt;&gt;"",J497,F497-I497),IF(E497="现金分红",J497,0))))</x:f>
      </x:c>
      <x:c r="L497" s="11"/>
      <x:c r="M497" s="14"/>
    </x:row>
    <x:row r="498" ht="21" customHeight="1">
      <x:c r="A498" s="7"/>
      <x:c r="B498" s="8"/>
      <x:c r="C498" s="9"/>
      <x:c r="D498" s="10" t="str">
        <x:f>IF(C498="","",IFERROR(VLOOKUP(C498,'基金信息'!$A$6:$B$200,2,FALSE),"代码未找到"))</x:f>
      </x:c>
      <x:c r="E498" s="11"/>
      <x:c r="F498" s="12"/>
      <x:c r="G498" s="13"/>
      <x:c r="H498" s="13"/>
      <x:c r="I498" s="11"/>
      <x:c r="J498" s="11"/>
      <x:c r="K498" s="10" t="str">
        <x:f t="shared" si="7">IF(A498="","",IF(OR(E498="买入",E498="定投",E498="转换转入"),-(F498+I498),IF(OR(E498="卖出",E498="转换转出"),IF(J498&lt;&gt;"",J498,F498-I498),IF(E498="现金分红",J498,0))))</x:f>
      </x:c>
      <x:c r="L498" s="11"/>
      <x:c r="M498" s="14"/>
    </x:row>
    <x:row r="499" ht="21" customHeight="1">
      <x:c r="A499" s="7"/>
      <x:c r="B499" s="8"/>
      <x:c r="C499" s="9"/>
      <x:c r="D499" s="10" t="str">
        <x:f>IF(C499="","",IFERROR(VLOOKUP(C499,'基金信息'!$A$6:$B$200,2,FALSE),"代码未找到"))</x:f>
      </x:c>
      <x:c r="E499" s="11"/>
      <x:c r="F499" s="12"/>
      <x:c r="G499" s="13"/>
      <x:c r="H499" s="13"/>
      <x:c r="I499" s="11"/>
      <x:c r="J499" s="11"/>
      <x:c r="K499" s="10" t="str">
        <x:f t="shared" si="7">IF(A499="","",IF(OR(E499="买入",E499="定投",E499="转换转入"),-(F499+I499),IF(OR(E499="卖出",E499="转换转出"),IF(J499&lt;&gt;"",J499,F499-I499),IF(E499="现金分红",J499,0))))</x:f>
      </x:c>
      <x:c r="L499" s="11"/>
      <x:c r="M499" s="14"/>
    </x:row>
    <x:row r="500" ht="21" customHeight="1">
      <x:c r="A500" s="7"/>
      <x:c r="B500" s="8"/>
      <x:c r="C500" s="9"/>
      <x:c r="D500" s="10" t="str">
        <x:f>IF(C500="","",IFERROR(VLOOKUP(C500,'基金信息'!$A$6:$B$200,2,FALSE),"代码未找到"))</x:f>
      </x:c>
      <x:c r="E500" s="11"/>
      <x:c r="F500" s="12"/>
      <x:c r="G500" s="13"/>
      <x:c r="H500" s="13"/>
      <x:c r="I500" s="11"/>
      <x:c r="J500" s="11"/>
      <x:c r="K500" s="10" t="str">
        <x:f t="shared" si="7">IF(A500="","",IF(OR(E500="买入",E500="定投",E500="转换转入"),-(F500+I500),IF(OR(E500="卖出",E500="转换转出"),IF(J500&lt;&gt;"",J500,F500-I500),IF(E500="现金分红",J500,0))))</x:f>
      </x:c>
      <x:c r="L500" s="11"/>
      <x:c r="M500" s="14"/>
    </x:row>
    <x:row r="501" ht="21" customHeight="1">
      <x:c r="A501" s="7"/>
      <x:c r="B501" s="8"/>
      <x:c r="C501" s="9"/>
      <x:c r="D501" s="10" t="str">
        <x:f>IF(C501="","",IFERROR(VLOOKUP(C501,'基金信息'!$A$6:$B$200,2,FALSE),"代码未找到"))</x:f>
      </x:c>
      <x:c r="E501" s="11"/>
      <x:c r="F501" s="12"/>
      <x:c r="G501" s="13"/>
      <x:c r="H501" s="13"/>
      <x:c r="I501" s="11"/>
      <x:c r="J501" s="11"/>
      <x:c r="K501" s="10" t="str">
        <x:f t="shared" si="7">IF(A501="","",IF(OR(E501="买入",E501="定投",E501="转换转入"),-(F501+I501),IF(OR(E501="卖出",E501="转换转出"),IF(J501&lt;&gt;"",J501,F501-I501),IF(E501="现金分红",J501,0))))</x:f>
      </x:c>
      <x:c r="L501" s="11"/>
      <x:c r="M501" s="14"/>
    </x:row>
    <x:row r="502" ht="21" customHeight="1">
      <x:c r="A502" s="7"/>
      <x:c r="B502" s="8"/>
      <x:c r="C502" s="9"/>
      <x:c r="D502" s="10" t="str">
        <x:f>IF(C502="","",IFERROR(VLOOKUP(C502,'基金信息'!$A$6:$B$200,2,FALSE),"代码未找到"))</x:f>
      </x:c>
      <x:c r="E502" s="11"/>
      <x:c r="F502" s="12"/>
      <x:c r="G502" s="13"/>
      <x:c r="H502" s="13"/>
      <x:c r="I502" s="11"/>
      <x:c r="J502" s="11"/>
      <x:c r="K502" s="10" t="str">
        <x:f t="shared" si="7">IF(A502="","",IF(OR(E502="买入",E502="定投",E502="转换转入"),-(F502+I502),IF(OR(E502="卖出",E502="转换转出"),IF(J502&lt;&gt;"",J502,F502-I502),IF(E502="现金分红",J502,0))))</x:f>
      </x:c>
      <x:c r="L502" s="11"/>
      <x:c r="M502" s="14"/>
    </x:row>
    <x:row r="503" ht="21" customHeight="1">
      <x:c r="A503" s="7"/>
      <x:c r="B503" s="8"/>
      <x:c r="C503" s="9"/>
      <x:c r="D503" s="10" t="str">
        <x:f>IF(C503="","",IFERROR(VLOOKUP(C503,'基金信息'!$A$6:$B$200,2,FALSE),"代码未找到"))</x:f>
      </x:c>
      <x:c r="E503" s="11"/>
      <x:c r="F503" s="12"/>
      <x:c r="G503" s="13"/>
      <x:c r="H503" s="13"/>
      <x:c r="I503" s="11"/>
      <x:c r="J503" s="11"/>
      <x:c r="K503" s="10" t="str">
        <x:f t="shared" si="7">IF(A503="","",IF(OR(E503="买入",E503="定投",E503="转换转入"),-(F503+I503),IF(OR(E503="卖出",E503="转换转出"),IF(J503&lt;&gt;"",J503,F503-I503),IF(E503="现金分红",J503,0))))</x:f>
      </x:c>
      <x:c r="L503" s="11"/>
      <x:c r="M503" s="14"/>
    </x:row>
    <x:row r="504" ht="21" customHeight="1">
      <x:c r="A504" s="15"/>
      <x:c r="B504" s="16"/>
      <x:c r="C504" s="17"/>
      <x:c r="D504" s="18" t="str">
        <x:f>IF(C504="","",IFERROR(VLOOKUP(C504,'基金信息'!$A$6:$B$200,2,FALSE),"代码未找到"))</x:f>
      </x:c>
      <x:c r="E504" s="19"/>
      <x:c r="F504" s="20"/>
      <x:c r="G504" s="21"/>
      <x:c r="H504" s="21"/>
      <x:c r="I504" s="19"/>
      <x:c r="J504" s="19"/>
      <x:c r="K504" s="18" t="str">
        <x:f t="shared" si="7">IF(A504="","",IF(OR(E504="买入",E504="定投",E504="转换转入"),-(F504+I504),IF(OR(E504="卖出",E504="转换转出"),IF(J504&lt;&gt;"",J504,F504-I504),IF(E504="现金分红",J504,0))))</x:f>
      </x:c>
      <x:c r="L504" s="19"/>
      <x:c r="M504" s="22"/>
    </x:row>
  </x:sheetData>
  <x:mergeCells>
    <x:mergeCell ref="A1:M1"/>
    <x:mergeCell ref="A2:M3"/>
  </x:mergeCells>
  <x:dataValidations count="3">
    <x:dataValidation type="list" sqref="C6:C504">
      <x:formula1>"021934,023652,024663,015877,027521"</x:formula1>
    </x:dataValidation>
    <x:dataValidation type="list" sqref="E6:E504">
      <x:formula1>"买入,定投,卖出,转换转入,转换转出,现金分红,红利再投,其他"</x:formula1>
    </x:dataValidation>
    <x:dataValidation type="list" sqref="L6:L504">
      <x:formula1>"初始建仓,常规定投,回撤加仓,再平衡,止盈,止损,其他"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6" hidden="0" customWidth="1"/>
    <x:col min="2" max="2" width="24" hidden="0" customWidth="1"/>
    <x:col min="3" max="3" width="48" hidden="0" customWidth="1"/>
    <x:col min="4" max="4" width="40" hidden="0" customWidth="1"/>
    <x:col min="5" max="7" width="18" customWidth="1"/>
    <x:col min="8" max="8" width="24" customWidth="1"/>
  </x:cols>
  <x:sheetData>
    <x:row r="1" ht="30" customHeight="1">
      <x:c r="A1" s="59" t="str">
        <x:v>如何填写，以及标准分析流程</x:v>
      </x:c>
      <x:c r="B1" s="59"/>
      <x:c r="C1" s="59"/>
      <x:c r="D1" s="59"/>
      <x:c r="E1" s="59"/>
      <x:c r="F1" s="59"/>
      <x:c r="G1" s="59"/>
      <x:c r="H1" s="59"/>
    </x:row>
    <x:row r="2">
      <x:c r="A2" s="60"/>
      <x:c r="B2" s="60"/>
      <x:c r="C2" s="60"/>
      <x:c r="D2" s="60"/>
      <x:c r="E2" s="60"/>
      <x:c r="F2" s="60"/>
      <x:c r="G2" s="60"/>
      <x:c r="H2" s="60"/>
    </x:row>
    <x:row r="3" ht="22.049999237060547" customHeight="1">
      <x:c r="A3" s="80" t="s">
        <x:v>15</x:v>
      </x:c>
      <x:c r="B3" s="80" t="s">
        <x:v>15</x:v>
      </x:c>
      <x:c r="C3" s="80" t="s">
        <x:v>15</x:v>
      </x:c>
      <x:c r="D3" s="80" t="s">
        <x:v>15</x:v>
      </x:c>
      <x:c r="E3" s="80" t="s">
        <x:v>15</x:v>
      </x:c>
      <x:c r="F3" s="80" t="s">
        <x:v>15</x:v>
      </x:c>
      <x:c r="G3" s="80" t="s">
        <x:v>15</x:v>
      </x:c>
      <x:c r="H3" s="80" t="s">
        <x:v>15</x:v>
      </x:c>
    </x:row>
    <x:row r="4" ht="28.049999237060547" customHeight="1">
      <x:c r="A4" s="65" t="s">
        <x:v>16</x:v>
      </x:c>
      <x:c r="B4" s="66" t="s">
        <x:v>17</x:v>
      </x:c>
      <x:c r="C4" s="66" t="s">
        <x:v>18</x:v>
      </x:c>
      <x:c r="D4" s="66" t="s">
        <x:v>19</x:v>
      </x:c>
      <x:c r="E4" s="66"/>
      <x:c r="F4" s="66"/>
      <x:c r="G4" s="66"/>
      <x:c r="H4" s="81"/>
    </x:row>
    <x:row r="5" ht="37.95000076293945" customHeight="1">
      <x:c r="A5" s="82" t="s">
        <x:v>20</x:v>
      </x:c>
      <x:c r="B5" s="83" t="s">
        <x:v>21</x:v>
      </x:c>
      <x:c r="C5" s="83" t="s">
        <x:v>22</x:v>
      </x:c>
      <x:c r="D5" s="83" t="s">
        <x:v>23</x:v>
      </x:c>
      <x:c r="E5" s="83"/>
      <x:c r="F5" s="83"/>
      <x:c r="G5" s="83"/>
      <x:c r="H5" s="84"/>
    </x:row>
    <x:row r="6" ht="37.95000076293945" customHeight="1">
      <x:c r="A6" s="82" t="s">
        <x:v>7</x:v>
      </x:c>
      <x:c r="B6" s="83" t="s">
        <x:v>21</x:v>
      </x:c>
      <x:c r="C6" s="83" t="s">
        <x:v>22</x:v>
      </x:c>
      <x:c r="D6" s="83" t="s">
        <x:v>24</x:v>
      </x:c>
      <x:c r="E6" s="83"/>
      <x:c r="F6" s="83"/>
      <x:c r="G6" s="83"/>
      <x:c r="H6" s="84"/>
    </x:row>
    <x:row r="7" ht="37.95000076293945" customHeight="1">
      <x:c r="A7" s="82" t="s">
        <x:v>25</x:v>
      </x:c>
      <x:c r="B7" s="83" t="s">
        <x:v>26</x:v>
      </x:c>
      <x:c r="C7" s="83" t="s">
        <x:v>27</x:v>
      </x:c>
      <x:c r="D7" s="83" t="s">
        <x:v>28</x:v>
      </x:c>
      <x:c r="E7" s="83"/>
      <x:c r="F7" s="83"/>
      <x:c r="G7" s="83"/>
      <x:c r="H7" s="84"/>
    </x:row>
    <x:row r="8" ht="37.95000076293945" customHeight="1">
      <x:c r="A8" s="82" t="s">
        <x:v>29</x:v>
      </x:c>
      <x:c r="B8" s="83" t="s">
        <x:v>30</x:v>
      </x:c>
      <x:c r="C8" s="83" t="s">
        <x:v>31</x:v>
      </x:c>
      <x:c r="D8" s="83" t="s">
        <x:v>32</x:v>
      </x:c>
      <x:c r="E8" s="83"/>
      <x:c r="F8" s="83"/>
      <x:c r="G8" s="83"/>
      <x:c r="H8" s="84"/>
    </x:row>
    <x:row r="9" ht="37.95000076293945" customHeight="1">
      <x:c r="A9" s="82" t="s">
        <x:v>33</x:v>
      </x:c>
      <x:c r="B9" s="83" t="s">
        <x:v>34</x:v>
      </x:c>
      <x:c r="C9" s="83" t="s">
        <x:v>35</x:v>
      </x:c>
      <x:c r="D9" s="83" t="s">
        <x:v>36</x:v>
      </x:c>
      <x:c r="E9" s="83"/>
      <x:c r="F9" s="83"/>
      <x:c r="G9" s="83"/>
      <x:c r="H9" s="84"/>
    </x:row>
    <x:row r="10" ht="37.95000076293945" customHeight="1">
      <x:c r="A10" s="82" t="s">
        <x:v>37</x:v>
      </x:c>
      <x:c r="B10" s="83" t="s">
        <x:v>21</x:v>
      </x:c>
      <x:c r="C10" s="83" t="s">
        <x:v>38</x:v>
      </x:c>
      <x:c r="D10" s="83" t="s">
        <x:v>39</x:v>
      </x:c>
      <x:c r="E10" s="83"/>
      <x:c r="F10" s="83"/>
      <x:c r="G10" s="83"/>
      <x:c r="H10" s="84"/>
    </x:row>
    <x:row r="11">
      <x:c r="A11" s="60"/>
      <x:c r="B11" s="60"/>
      <x:c r="C11" s="60"/>
      <x:c r="D11" s="60"/>
      <x:c r="E11" s="60"/>
      <x:c r="F11" s="60"/>
      <x:c r="G11" s="60"/>
      <x:c r="H11" s="60"/>
    </x:row>
    <x:row r="12" ht="22.049999237060547" customHeight="1">
      <x:c r="A12" s="102" t="str">
        <x:v>标准分析流程</x:v>
      </x:c>
      <x:c r="B12" s="102"/>
      <x:c r="C12" s="102"/>
      <x:c r="D12" s="102"/>
      <x:c r="E12" s="102"/>
      <x:c r="F12" s="102"/>
      <x:c r="G12" s="102"/>
      <x:c r="H12" s="102"/>
    </x:row>
    <x:row r="13" ht="26" customHeight="1">
      <x:c r="A13" s="113" t="str">
        <x:v>步骤</x:v>
      </x:c>
      <x:c r="B13" s="114" t="str">
        <x:v>触发条件</x:v>
      </x:c>
      <x:c r="C13" s="114" t="str">
        <x:v>固定动作</x:v>
      </x:c>
      <x:c r="D13" s="114" t="str">
        <x:v>输出</x:v>
      </x:c>
      <x:c r="E13" s="114"/>
      <x:c r="F13" s="114"/>
      <x:c r="G13" s="114"/>
      <x:c r="H13" s="114"/>
    </x:row>
    <x:row r="14" ht="44" customHeight="1">
      <x:c r="A14" s="86" t="str">
        <x:v>1</x:v>
      </x:c>
      <x:c r="B14" s="87" t="str">
        <x:v>新增基金或信息缺失</x:v>
      </x:c>
      <x:c r="C14" s="87" t="str">
        <x:v>先到天天基金查询名称、指数、费用、日期和基金页面；仅在可唯一确认时写入关联ETF代码与SecID。</x:v>
      </x:c>
      <x:c r="D14" s="87" t="str">
        <x:v>基金信息标准记录</x:v>
      </x:c>
      <x:c r="E14" s="87"/>
      <x:c r="F14" s="87"/>
      <x:c r="G14" s="87"/>
      <x:c r="H14" s="88"/>
    </x:row>
    <x:row r="15" ht="44" customHeight="1">
      <x:c r="A15" s="86" t="str">
        <x:v>2</x:v>
      </x:c>
      <x:c r="B15" s="87" t="str">
        <x:v>信息已同步</x:v>
      </x:c>
      <x:c r="C15" s="87" t="str">
        <x:v>检查交易流水是否存在该基金记录，并按确认交易计算当前份额。</x:v>
      </x:c>
      <x:c r="D15" s="87" t="str">
        <x:v>分析分支判断</x:v>
      </x:c>
      <x:c r="E15" s="87"/>
      <x:c r="F15" s="87"/>
      <x:c r="G15" s="87"/>
      <x:c r="H15" s="88"/>
    </x:row>
    <x:row r="16" ht="44" customHeight="1">
      <x:c r="A16" s="86" t="str">
        <x:v>3</x:v>
      </x:c>
      <x:c r="B16" s="87" t="str">
        <x:v>无交易或确认持仓为0</x:v>
      </x:c>
      <x:c r="C16" s="87" t="str">
        <x:v>只分析净值/关联ETF技术面；无关联ETF时不得声称放量。</x:v>
      </x:c>
      <x:c r="D16" s="87" t="str">
        <x:v>仅技术面</x:v>
      </x:c>
      <x:c r="E16" s="87"/>
      <x:c r="F16" s="87"/>
      <x:c r="G16" s="87"/>
      <x:c r="H16" s="88"/>
    </x:row>
    <x:row r="17" ht="44" customHeight="1">
      <x:c r="A17" s="86" t="str">
        <x:v>4</x:v>
      </x:c>
      <x:c r="B17" s="87" t="str">
        <x:v>存在确认持仓</x:v>
      </x:c>
      <x:c r="C17" s="87" t="str">
        <x:v>固定脚本计算成本、市值、盈亏和回本涨幅，再叠加ETF技术面。</x:v>
      </x:c>
      <x:c r="D17" s="87" t="str">
        <x:v>流水+技术面</x:v>
      </x:c>
      <x:c r="E17" s="87"/>
      <x:c r="F17" s="87"/>
      <x:c r="G17" s="87"/>
      <x:c r="H17" s="88"/>
    </x:row>
    <x:row r="18" ht="44" customHeight="1">
      <x:c r="A18" s="86" t="str">
        <x:v>5</x:v>
      </x:c>
      <x:c r="B18" s="87" t="str">
        <x:v>存在待确认卖出/转换</x:v>
      </x:c>
      <x:c r="C18" s="87" t="str">
        <x:v>待确认记录单列，不提前从确认份额和成本中扣除。</x:v>
      </x:c>
      <x:c r="D18" s="87" t="str">
        <x:v>待确认清单</x:v>
      </x:c>
      <x:c r="E18" s="87"/>
      <x:c r="F18" s="87"/>
      <x:c r="G18" s="87"/>
      <x:c r="H18" s="88"/>
    </x:row>
    <x:row r="19" ht="44" customHeight="1">
      <x:c r="A19" s="89" t="str">
        <x:v>6</x:v>
      </x:c>
      <x:c r="B19" s="89" t="str">
        <x:v>表头或计算口径变化</x:v>
      </x:c>
      <x:c r="C19" s="89" t="str">
        <x:v>同步修改工作簿模板、Schema、计算脚本和测试数据，校验通过后再使用。</x:v>
      </x:c>
      <x:c r="D19" s="89" t="str">
        <x:v>模板与代码同步</x:v>
      </x:c>
      <x:c r="E19" s="89"/>
      <x:c r="F19" s="89"/>
      <x:c r="G19" s="89"/>
      <x:c r="H19" s="89"/>
    </x:row>
    <x:row r="20">
      <x:c r="A20" s="89"/>
      <x:c r="B20" s="89"/>
      <x:c r="C20" s="89"/>
      <x:c r="D20" s="89"/>
      <x:c r="E20" s="89"/>
      <x:c r="F20" s="89"/>
      <x:c r="G20" s="89"/>
      <x:c r="H20" s="89"/>
    </x:row>
    <x:row r="21" ht="26" customHeight="1">
      <x:c r="A21" s="102" t="str">
        <x:v>固定计算与技术口径</x:v>
      </x:c>
      <x:c r="B21" s="102"/>
      <x:c r="C21" s="102"/>
      <x:c r="D21" s="102"/>
      <x:c r="E21" s="102"/>
      <x:c r="F21" s="102"/>
      <x:c r="G21" s="102"/>
      <x:c r="H21" s="102"/>
    </x:row>
    <x:row r="22" ht="26" customHeight="1">
      <x:c r="A22" s="95" t="str">
        <x:v>项目</x:v>
      </x:c>
      <x:c r="B22" s="95" t="str">
        <x:v>固定口径</x:v>
      </x:c>
      <x:c r="C22" s="95" t="str">
        <x:v>原因/限制</x:v>
      </x:c>
      <x:c r="D22" s="95" t="str">
        <x:v>检查点</x:v>
      </x:c>
      <x:c r="E22" s="95"/>
      <x:c r="F22" s="95"/>
      <x:c r="G22" s="95"/>
      <x:c r="H22" s="95"/>
    </x:row>
    <x:row r="23" ht="54" customHeight="1">
      <x:c r="A23" s="89" t="str">
        <x:v>买入成本</x:v>
      </x:c>
      <x:c r="B23" s="89" t="str">
        <x:v>成交金额+手续费；买入、定投、转换转入增加确认份额。</x:v>
      </x:c>
      <x:c r="C23" s="89" t="str">
        <x:v>保证可复算。</x:v>
      </x:c>
      <x:c r="D23" s="89" t="str">
        <x:v>确认份额必须填写</x:v>
      </x:c>
      <x:c r="E23" s="89"/>
      <x:c r="F23" s="89"/>
      <x:c r="G23" s="89"/>
      <x:c r="H23" s="89"/>
    </x:row>
    <x:row r="24" ht="54" customHeight="1">
      <x:c r="A24" s="89" t="str">
        <x:v>卖出成本</x:v>
      </x:c>
      <x:c r="B24" s="89" t="str">
        <x:v>按移动加权平均成本减少；到账优先，其次成交金额，最后才估算。</x:v>
      </x:c>
      <x:c r="C24" s="89" t="str">
        <x:v>避免把历史全部成本误算到一次卖出。</x:v>
      </x:c>
      <x:c r="D24" s="89" t="str">
        <x:v>缺到账时报警</x:v>
      </x:c>
      <x:c r="E24" s="89"/>
      <x:c r="F24" s="89"/>
      <x:c r="G24" s="89"/>
      <x:c r="H24" s="89"/>
    </x:row>
    <x:row r="25" ht="54" customHeight="1">
      <x:c r="A25" s="89" t="str">
        <x:v>回本涨幅</x:v>
      </x:c>
      <x:c r="B25" s="89" t="str">
        <x:v>未弥补亏损÷当前市值。</x:v>
      </x:c>
      <x:c r="C25" s="89" t="str">
        <x:v>与“成本跌幅”不是同一百分比。</x:v>
      </x:c>
      <x:c r="D25" s="89" t="str">
        <x:v>使用最近确认净值</x:v>
      </x:c>
      <x:c r="E25" s="89"/>
      <x:c r="F25" s="89"/>
      <x:c r="G25" s="89"/>
      <x:c r="H25" s="89"/>
    </x:row>
    <x:row r="26" ht="54" customHeight="1">
      <x:c r="A26" s="89" t="str">
        <x:v>趋势指标</x:v>
      </x:c>
      <x:c r="B26" s="89" t="str">
        <x:v>ETF前复权日K；MA5/10/20/60、5/10/20日收益、RSI14、20/60日高低点。</x:v>
      </x:c>
      <x:c r="C26" s="89" t="str">
        <x:v>拆分后均线仍可比。</x:v>
      </x:c>
      <x:c r="D26" s="89" t="str">
        <x:v>写明截止日期</x:v>
      </x:c>
      <x:c r="E26" s="89"/>
      <x:c r="F26" s="89"/>
      <x:c r="G26" s="89"/>
      <x:c r="H26" s="89"/>
    </x:row>
    <x:row r="27" ht="54" customHeight="1">
      <x:c r="A27" s="89" t="str">
        <x:v>量能指标</x:v>
      </x:c>
      <x:c r="B27" s="89" t="str">
        <x:v>当日ETF成交额÷前5个交易日平均成交额。</x:v>
      </x:c>
      <x:c r="C27" s="89" t="str">
        <x:v>场外联接基金本身没有可用成交量。</x:v>
      </x:c>
      <x:c r="D27" s="89" t="str">
        <x:v>&lt;1缩量；≥1.5明显放量</x:v>
      </x:c>
      <x:c r="E27" s="89"/>
      <x:c r="F27" s="89"/>
      <x:c r="G27" s="89"/>
      <x:c r="H27" s="89"/>
    </x:row>
    <x:row r="28" ht="54" customHeight="1">
      <x:c r="A28" s="89" t="str">
        <x:v>风险约束</x:v>
      </x:c>
      <x:c r="B28" s="89" t="str">
        <x:v>先写失效条件，再写分批触发；不因低于成本自动加仓。</x:v>
      </x:c>
      <x:c r="C28" s="89" t="str">
        <x:v>“尽快回本”不能替代仓位和止损纪律。</x:v>
      </x:c>
      <x:c r="D28" s="89" t="str">
        <x:v>至少两个独立信号</x:v>
      </x:c>
      <x:c r="E28" s="89"/>
      <x:c r="F28" s="89"/>
      <x:c r="G28" s="89"/>
      <x:c r="H28" s="89"/>
    </x:row>
  </x:sheetData>
  <x:mergeCells>
    <x:mergeCell ref="D8:H8"/>
    <x:mergeCell ref="D9:H9"/>
    <x:mergeCell ref="D10:H10"/>
    <x:mergeCell ref="A1:H1"/>
    <x:mergeCell ref="A3:H3"/>
    <x:mergeCell ref="D5:H5"/>
    <x:mergeCell ref="D6:H6"/>
    <x:mergeCell ref="D7:H7"/>
    <x:mergeCell ref="A12:H12"/>
    <x:mergeCell ref="A21:H21"/>
    <x:mergeCell ref="D13:H13"/>
    <x:mergeCell ref="D14:H14"/>
    <x:mergeCell ref="D15:H15"/>
    <x:mergeCell ref="D16:H16"/>
    <x:mergeCell ref="D17:H17"/>
    <x:mergeCell ref="D18:H18"/>
    <x:mergeCell ref="D19:H19"/>
    <x:mergeCell ref="D22:H22"/>
    <x:mergeCell ref="D23:H23"/>
    <x:mergeCell ref="D24:H24"/>
    <x:mergeCell ref="D25:H25"/>
    <x:mergeCell ref="D26:H26"/>
    <x:mergeCell ref="D27:H27"/>
    <x:mergeCell ref="D28:H28"/>
  </x:mergeCells>
  <x:pageMargins left="0.7" right="0.7" top="0.75" bottom="0.75" header="0.3" footer="0.3"/>
</x:worksheet>
</file>